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oibernier/Documents/MS-ADS/2026_Spring/Capstone_I/Repo/Pyxidr-Capstone-Project/regulations/"/>
    </mc:Choice>
  </mc:AlternateContent>
  <xr:revisionPtr revIDLastSave="0" documentId="8_{1C61ECB9-3145-D24D-BFF9-799C16F91A86}" xr6:coauthVersionLast="47" xr6:coauthVersionMax="47" xr10:uidLastSave="{00000000-0000-0000-0000-000000000000}"/>
  <bookViews>
    <workbookView xWindow="-38400" yWindow="-240" windowWidth="38400" windowHeight="21100" xr2:uid="{0223B9B8-7760-8B40-83A6-D3AD6AAA5CE0}"/>
  </bookViews>
  <sheets>
    <sheet name="Assumptions" sheetId="1" r:id="rId1"/>
    <sheet name="CIR Scenarios" sheetId="2" r:id="rId2"/>
    <sheet name="Cash Flows - Scenario 1" sheetId="3" r:id="rId3"/>
    <sheet name="PVAD - Scenario 1" sheetId="4" r:id="rId4"/>
    <sheet name="All Scenarios Summary" sheetId="5" r:id="rId5"/>
    <sheet name="C3 Calculation" sheetId="6" r:id="rId6"/>
    <sheet name="Sensitivity Analysis" sheetId="7" r:id="rId7"/>
  </sheets>
  <definedNames>
    <definedName name="_xlchart.v1.0" hidden="1">'All Scenarios Summary'!$A$3</definedName>
    <definedName name="_xlchart.v1.1" hidden="1">'All Scenarios Summary'!$A$4:$A$53</definedName>
    <definedName name="_xlchart.v1.2" hidden="1">'All Scenarios Summary'!$B$3</definedName>
    <definedName name="_xlchart.v1.3" hidden="1">'All Scenarios Summary'!$B$4:$B$53</definedName>
    <definedName name="_xlchart.v1.4" hidden="1">'All Scenarios Summary'!$A$3</definedName>
    <definedName name="_xlchart.v1.5" hidden="1">'All Scenarios Summary'!$A$4:$A$53</definedName>
    <definedName name="_xlchart.v1.6" hidden="1">'All Scenarios Summary'!$B$3</definedName>
    <definedName name="_xlchart.v1.7" hidden="1">'All Scenarios Summary'!$B$4:$B$53</definedName>
    <definedName name="Annual_Maturity">Assumptions!$B$7</definedName>
    <definedName name="Asset_Coupon">Assumptions!$B$5</definedName>
    <definedName name="Asset_Par">Assumptions!$B$6</definedName>
    <definedName name="CIR_kappa">Assumptions!$B$10</definedName>
    <definedName name="CIR_sigma">Assumptions!$B$12</definedName>
    <definedName name="CIR_theta">Assumptions!$B$11</definedName>
    <definedName name="Expenses">Assumptions!$B$8</definedName>
    <definedName name="FABN_Face">Assumptions!$B$2</definedName>
    <definedName name="FABN_Maturity">Assumptions!$B$4</definedName>
    <definedName name="FABN_Rate">Assumptions!$B$3</definedName>
    <definedName name="Initial_Rate">Assumptions!$B$13</definedName>
    <definedName name="Months">Assumptions!$B$15</definedName>
    <definedName name="Num_Scenarios">Assumptions!$B$14</definedName>
    <definedName name="Tax_Rate">Assumptions!$B$9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3" i="5" l="1" a="1"/>
  <c r="W343" i="5" s="1"/>
  <c r="W344" i="5" s="1" a="1"/>
  <c r="W344" i="5" s="1"/>
  <c r="W345" i="5" s="1" a="1"/>
  <c r="W345" i="5" s="1"/>
  <c r="W346" i="5" s="1" a="1"/>
  <c r="W346" i="5" s="1"/>
  <c r="B22" i="6"/>
  <c r="B43" i="7" s="1"/>
  <c r="B16" i="6"/>
  <c r="R405" i="5"/>
  <c r="R406" i="5"/>
  <c r="R407" i="5"/>
  <c r="R408" i="5"/>
  <c r="R409" i="5"/>
  <c r="P405" i="5"/>
  <c r="S405" i="5" s="1"/>
  <c r="P406" i="5"/>
  <c r="S406" i="5" s="1"/>
  <c r="P407" i="5"/>
  <c r="S407" i="5" s="1"/>
  <c r="P408" i="5"/>
  <c r="S408" i="5" s="1"/>
  <c r="P409" i="5"/>
  <c r="S409" i="5" s="1"/>
  <c r="K405" i="5"/>
  <c r="O405" i="5" s="1"/>
  <c r="T405" i="5" s="1"/>
  <c r="U405" i="5" s="1"/>
  <c r="K406" i="5"/>
  <c r="K407" i="5"/>
  <c r="K408" i="5"/>
  <c r="K409" i="5"/>
  <c r="R398" i="5"/>
  <c r="R399" i="5"/>
  <c r="R400" i="5"/>
  <c r="R401" i="5"/>
  <c r="R402" i="5"/>
  <c r="P398" i="5"/>
  <c r="S398" i="5" s="1"/>
  <c r="P399" i="5"/>
  <c r="S399" i="5" s="1"/>
  <c r="P400" i="5"/>
  <c r="S400" i="5" s="1"/>
  <c r="P401" i="5"/>
  <c r="S401" i="5" s="1"/>
  <c r="P402" i="5"/>
  <c r="S402" i="5" s="1"/>
  <c r="K398" i="5"/>
  <c r="O398" i="5" s="1"/>
  <c r="K399" i="5"/>
  <c r="K400" i="5"/>
  <c r="K401" i="5"/>
  <c r="K402" i="5"/>
  <c r="R391" i="5"/>
  <c r="R392" i="5"/>
  <c r="R393" i="5"/>
  <c r="R394" i="5"/>
  <c r="R395" i="5"/>
  <c r="P391" i="5"/>
  <c r="S391" i="5" s="1"/>
  <c r="P392" i="5"/>
  <c r="S392" i="5" s="1"/>
  <c r="P393" i="5"/>
  <c r="S393" i="5" s="1"/>
  <c r="P394" i="5"/>
  <c r="S394" i="5" s="1"/>
  <c r="P395" i="5"/>
  <c r="S395" i="5" s="1"/>
  <c r="K391" i="5"/>
  <c r="O391" i="5" s="1"/>
  <c r="K392" i="5"/>
  <c r="K393" i="5"/>
  <c r="K394" i="5"/>
  <c r="K395" i="5"/>
  <c r="R384" i="5"/>
  <c r="R385" i="5"/>
  <c r="R386" i="5"/>
  <c r="R387" i="5"/>
  <c r="R388" i="5"/>
  <c r="P384" i="5"/>
  <c r="S384" i="5" s="1"/>
  <c r="P385" i="5"/>
  <c r="S385" i="5" s="1"/>
  <c r="P386" i="5"/>
  <c r="S386" i="5" s="1"/>
  <c r="P387" i="5"/>
  <c r="S387" i="5" s="1"/>
  <c r="P388" i="5"/>
  <c r="S388" i="5" s="1"/>
  <c r="K384" i="5"/>
  <c r="O384" i="5" s="1"/>
  <c r="T384" i="5" s="1"/>
  <c r="U384" i="5" s="1"/>
  <c r="K385" i="5"/>
  <c r="K386" i="5"/>
  <c r="K387" i="5"/>
  <c r="K388" i="5"/>
  <c r="R377" i="5"/>
  <c r="R378" i="5"/>
  <c r="R379" i="5"/>
  <c r="R380" i="5"/>
  <c r="R381" i="5"/>
  <c r="P377" i="5"/>
  <c r="P378" i="5"/>
  <c r="S378" i="5" s="1"/>
  <c r="P379" i="5"/>
  <c r="S379" i="5" s="1"/>
  <c r="P380" i="5"/>
  <c r="S380" i="5" s="1"/>
  <c r="P381" i="5"/>
  <c r="K377" i="5"/>
  <c r="O377" i="5" s="1"/>
  <c r="K378" i="5"/>
  <c r="K379" i="5"/>
  <c r="K380" i="5"/>
  <c r="K381" i="5"/>
  <c r="R370" i="5"/>
  <c r="R371" i="5"/>
  <c r="R372" i="5"/>
  <c r="R373" i="5"/>
  <c r="R374" i="5"/>
  <c r="P370" i="5"/>
  <c r="S370" i="5" s="1"/>
  <c r="P371" i="5"/>
  <c r="S371" i="5" s="1"/>
  <c r="P372" i="5"/>
  <c r="S372" i="5" s="1"/>
  <c r="P373" i="5"/>
  <c r="S373" i="5" s="1"/>
  <c r="P374" i="5"/>
  <c r="S374" i="5" s="1"/>
  <c r="K370" i="5"/>
  <c r="O370" i="5" s="1"/>
  <c r="T370" i="5" s="1"/>
  <c r="U370" i="5" s="1"/>
  <c r="K371" i="5"/>
  <c r="K372" i="5"/>
  <c r="K373" i="5"/>
  <c r="K374" i="5"/>
  <c r="R363" i="5"/>
  <c r="R364" i="5"/>
  <c r="R365" i="5"/>
  <c r="R366" i="5"/>
  <c r="R367" i="5"/>
  <c r="P363" i="5"/>
  <c r="P364" i="5"/>
  <c r="P365" i="5"/>
  <c r="S365" i="5" s="1"/>
  <c r="P366" i="5"/>
  <c r="S366" i="5" s="1"/>
  <c r="P367" i="5"/>
  <c r="S367" i="5" s="1"/>
  <c r="K363" i="5"/>
  <c r="O363" i="5" s="1"/>
  <c r="K364" i="5"/>
  <c r="K365" i="5"/>
  <c r="K366" i="5"/>
  <c r="K367" i="5"/>
  <c r="R356" i="5"/>
  <c r="R357" i="5"/>
  <c r="R358" i="5"/>
  <c r="R359" i="5"/>
  <c r="R360" i="5"/>
  <c r="P356" i="5"/>
  <c r="P357" i="5"/>
  <c r="P358" i="5"/>
  <c r="P359" i="5"/>
  <c r="P360" i="5"/>
  <c r="K356" i="5"/>
  <c r="O356" i="5" s="1"/>
  <c r="K357" i="5"/>
  <c r="K358" i="5"/>
  <c r="K359" i="5"/>
  <c r="K360" i="5"/>
  <c r="R349" i="5"/>
  <c r="R350" i="5"/>
  <c r="R351" i="5"/>
  <c r="R352" i="5"/>
  <c r="R353" i="5"/>
  <c r="P349" i="5"/>
  <c r="S349" i="5" s="1"/>
  <c r="P350" i="5"/>
  <c r="S350" i="5" s="1"/>
  <c r="P351" i="5"/>
  <c r="S351" i="5" s="1"/>
  <c r="P352" i="5"/>
  <c r="S352" i="5" s="1"/>
  <c r="P353" i="5"/>
  <c r="S353" i="5" s="1"/>
  <c r="K349" i="5"/>
  <c r="O349" i="5" s="1"/>
  <c r="K350" i="5"/>
  <c r="K351" i="5"/>
  <c r="K352" i="5"/>
  <c r="K353" i="5"/>
  <c r="R342" i="5"/>
  <c r="R343" i="5"/>
  <c r="R344" i="5"/>
  <c r="R345" i="5"/>
  <c r="R346" i="5"/>
  <c r="P342" i="5"/>
  <c r="S342" i="5" s="1"/>
  <c r="P343" i="5"/>
  <c r="S343" i="5" s="1"/>
  <c r="P344" i="5"/>
  <c r="S344" i="5" s="1"/>
  <c r="P345" i="5"/>
  <c r="S345" i="5" s="1"/>
  <c r="P346" i="5"/>
  <c r="S346" i="5" s="1"/>
  <c r="K342" i="5"/>
  <c r="O342" i="5" s="1"/>
  <c r="T342" i="5" s="1"/>
  <c r="U342" i="5" s="1"/>
  <c r="K343" i="5"/>
  <c r="K344" i="5"/>
  <c r="K345" i="5"/>
  <c r="K346" i="5"/>
  <c r="R335" i="5"/>
  <c r="R336" i="5"/>
  <c r="R337" i="5"/>
  <c r="R338" i="5"/>
  <c r="R339" i="5"/>
  <c r="P335" i="5"/>
  <c r="S335" i="5" s="1"/>
  <c r="P336" i="5"/>
  <c r="S336" i="5" s="1"/>
  <c r="P337" i="5"/>
  <c r="S337" i="5" s="1"/>
  <c r="P338" i="5"/>
  <c r="S338" i="5" s="1"/>
  <c r="P339" i="5"/>
  <c r="S339" i="5" s="1"/>
  <c r="K335" i="5"/>
  <c r="O335" i="5" s="1"/>
  <c r="T335" i="5" s="1"/>
  <c r="U335" i="5" s="1"/>
  <c r="K336" i="5"/>
  <c r="K337" i="5"/>
  <c r="K338" i="5"/>
  <c r="K339" i="5"/>
  <c r="R328" i="5"/>
  <c r="R329" i="5"/>
  <c r="R330" i="5"/>
  <c r="R331" i="5"/>
  <c r="R332" i="5"/>
  <c r="P328" i="5"/>
  <c r="S328" i="5" s="1"/>
  <c r="P329" i="5"/>
  <c r="S329" i="5" s="1"/>
  <c r="P330" i="5"/>
  <c r="S330" i="5" s="1"/>
  <c r="P331" i="5"/>
  <c r="S331" i="5" s="1"/>
  <c r="P332" i="5"/>
  <c r="S332" i="5" s="1"/>
  <c r="K328" i="5"/>
  <c r="O328" i="5" s="1"/>
  <c r="T328" i="5" s="1"/>
  <c r="U328" i="5" s="1"/>
  <c r="K329" i="5"/>
  <c r="K330" i="5"/>
  <c r="K331" i="5"/>
  <c r="K332" i="5"/>
  <c r="R321" i="5"/>
  <c r="R322" i="5"/>
  <c r="R323" i="5"/>
  <c r="R324" i="5"/>
  <c r="R325" i="5"/>
  <c r="P321" i="5"/>
  <c r="S321" i="5" s="1"/>
  <c r="P322" i="5"/>
  <c r="S322" i="5" s="1"/>
  <c r="P323" i="5"/>
  <c r="S323" i="5" s="1"/>
  <c r="P324" i="5"/>
  <c r="P325" i="5"/>
  <c r="S325" i="5" s="1"/>
  <c r="K321" i="5"/>
  <c r="O321" i="5" s="1"/>
  <c r="T321" i="5" s="1"/>
  <c r="U321" i="5" s="1"/>
  <c r="K322" i="5"/>
  <c r="K323" i="5"/>
  <c r="K324" i="5"/>
  <c r="K325" i="5"/>
  <c r="R314" i="5"/>
  <c r="R315" i="5"/>
  <c r="R316" i="5"/>
  <c r="R317" i="5"/>
  <c r="R318" i="5"/>
  <c r="P314" i="5"/>
  <c r="P315" i="5"/>
  <c r="P316" i="5"/>
  <c r="P317" i="5"/>
  <c r="P318" i="5"/>
  <c r="K314" i="5"/>
  <c r="O314" i="5" s="1"/>
  <c r="K315" i="5"/>
  <c r="K316" i="5"/>
  <c r="K317" i="5"/>
  <c r="K318" i="5"/>
  <c r="R307" i="5"/>
  <c r="R308" i="5"/>
  <c r="R309" i="5"/>
  <c r="R310" i="5"/>
  <c r="R311" i="5"/>
  <c r="P307" i="5"/>
  <c r="S307" i="5" s="1"/>
  <c r="P308" i="5"/>
  <c r="S308" i="5" s="1"/>
  <c r="P309" i="5"/>
  <c r="S309" i="5" s="1"/>
  <c r="P310" i="5"/>
  <c r="S310" i="5" s="1"/>
  <c r="P311" i="5"/>
  <c r="S311" i="5" s="1"/>
  <c r="K307" i="5"/>
  <c r="O307" i="5" s="1"/>
  <c r="T307" i="5" s="1"/>
  <c r="U307" i="5" s="1"/>
  <c r="K308" i="5"/>
  <c r="K309" i="5"/>
  <c r="K310" i="5"/>
  <c r="K311" i="5"/>
  <c r="R300" i="5"/>
  <c r="R301" i="5"/>
  <c r="R302" i="5"/>
  <c r="R303" i="5"/>
  <c r="R304" i="5"/>
  <c r="P300" i="5"/>
  <c r="S300" i="5" s="1"/>
  <c r="P301" i="5"/>
  <c r="S301" i="5" s="1"/>
  <c r="P302" i="5"/>
  <c r="S302" i="5" s="1"/>
  <c r="P303" i="5"/>
  <c r="S303" i="5" s="1"/>
  <c r="P304" i="5"/>
  <c r="S304" i="5" s="1"/>
  <c r="K300" i="5"/>
  <c r="O300" i="5" s="1"/>
  <c r="T300" i="5" s="1"/>
  <c r="U300" i="5" s="1"/>
  <c r="K301" i="5"/>
  <c r="K302" i="5"/>
  <c r="K303" i="5"/>
  <c r="K304" i="5"/>
  <c r="R293" i="5"/>
  <c r="R294" i="5"/>
  <c r="R295" i="5"/>
  <c r="R296" i="5"/>
  <c r="R297" i="5"/>
  <c r="P293" i="5"/>
  <c r="S293" i="5" s="1"/>
  <c r="P294" i="5"/>
  <c r="S294" i="5" s="1"/>
  <c r="P295" i="5"/>
  <c r="S295" i="5" s="1"/>
  <c r="P296" i="5"/>
  <c r="S296" i="5" s="1"/>
  <c r="P297" i="5"/>
  <c r="K293" i="5"/>
  <c r="O293" i="5" s="1"/>
  <c r="K294" i="5"/>
  <c r="K295" i="5"/>
  <c r="K296" i="5"/>
  <c r="K297" i="5"/>
  <c r="R286" i="5"/>
  <c r="R287" i="5"/>
  <c r="R288" i="5"/>
  <c r="R289" i="5"/>
  <c r="R290" i="5"/>
  <c r="P286" i="5"/>
  <c r="P287" i="5"/>
  <c r="P288" i="5"/>
  <c r="P289" i="5"/>
  <c r="P290" i="5"/>
  <c r="S290" i="5" s="1"/>
  <c r="K286" i="5"/>
  <c r="O286" i="5" s="1"/>
  <c r="K287" i="5"/>
  <c r="K288" i="5"/>
  <c r="K289" i="5"/>
  <c r="K290" i="5"/>
  <c r="R279" i="5"/>
  <c r="R280" i="5"/>
  <c r="R281" i="5"/>
  <c r="R282" i="5"/>
  <c r="R283" i="5"/>
  <c r="P279" i="5"/>
  <c r="S279" i="5" s="1"/>
  <c r="P280" i="5"/>
  <c r="S280" i="5" s="1"/>
  <c r="P281" i="5"/>
  <c r="S281" i="5" s="1"/>
  <c r="P282" i="5"/>
  <c r="S282" i="5" s="1"/>
  <c r="P283" i="5"/>
  <c r="S283" i="5" s="1"/>
  <c r="K279" i="5"/>
  <c r="O279" i="5" s="1"/>
  <c r="K280" i="5"/>
  <c r="K281" i="5"/>
  <c r="K282" i="5"/>
  <c r="K283" i="5"/>
  <c r="R272" i="5"/>
  <c r="R273" i="5"/>
  <c r="R274" i="5"/>
  <c r="R275" i="5"/>
  <c r="R276" i="5"/>
  <c r="P272" i="5"/>
  <c r="S272" i="5" s="1"/>
  <c r="P273" i="5"/>
  <c r="S273" i="5" s="1"/>
  <c r="P274" i="5"/>
  <c r="S274" i="5" s="1"/>
  <c r="P275" i="5"/>
  <c r="S275" i="5" s="1"/>
  <c r="P276" i="5"/>
  <c r="S276" i="5" s="1"/>
  <c r="K272" i="5"/>
  <c r="O272" i="5" s="1"/>
  <c r="T272" i="5" s="1"/>
  <c r="U272" i="5" s="1"/>
  <c r="K273" i="5"/>
  <c r="K274" i="5"/>
  <c r="K275" i="5"/>
  <c r="K276" i="5"/>
  <c r="R265" i="5"/>
  <c r="R266" i="5"/>
  <c r="R267" i="5"/>
  <c r="R268" i="5"/>
  <c r="R269" i="5"/>
  <c r="P265" i="5"/>
  <c r="S265" i="5" s="1"/>
  <c r="P266" i="5"/>
  <c r="S266" i="5" s="1"/>
  <c r="P267" i="5"/>
  <c r="S267" i="5" s="1"/>
  <c r="P268" i="5"/>
  <c r="P269" i="5"/>
  <c r="K265" i="5"/>
  <c r="O265" i="5" s="1"/>
  <c r="K266" i="5"/>
  <c r="K267" i="5"/>
  <c r="K268" i="5"/>
  <c r="K269" i="5"/>
  <c r="R258" i="5"/>
  <c r="R259" i="5"/>
  <c r="R260" i="5"/>
  <c r="R261" i="5"/>
  <c r="R262" i="5"/>
  <c r="P258" i="5"/>
  <c r="P259" i="5"/>
  <c r="P260" i="5"/>
  <c r="P261" i="5"/>
  <c r="P262" i="5"/>
  <c r="S262" i="5" s="1"/>
  <c r="K258" i="5"/>
  <c r="O258" i="5" s="1"/>
  <c r="K259" i="5"/>
  <c r="K260" i="5"/>
  <c r="K261" i="5"/>
  <c r="K262" i="5"/>
  <c r="R251" i="5"/>
  <c r="R252" i="5"/>
  <c r="R253" i="5"/>
  <c r="R254" i="5"/>
  <c r="R255" i="5"/>
  <c r="P251" i="5"/>
  <c r="P252" i="5"/>
  <c r="S252" i="5" s="1"/>
  <c r="P253" i="5"/>
  <c r="S253" i="5" s="1"/>
  <c r="P254" i="5"/>
  <c r="S254" i="5" s="1"/>
  <c r="P255" i="5"/>
  <c r="S255" i="5" s="1"/>
  <c r="K251" i="5"/>
  <c r="O251" i="5" s="1"/>
  <c r="K252" i="5"/>
  <c r="K253" i="5"/>
  <c r="K254" i="5"/>
  <c r="K255" i="5"/>
  <c r="R244" i="5"/>
  <c r="R245" i="5"/>
  <c r="R246" i="5"/>
  <c r="R247" i="5"/>
  <c r="R248" i="5"/>
  <c r="P244" i="5"/>
  <c r="S244" i="5" s="1"/>
  <c r="P245" i="5"/>
  <c r="S245" i="5" s="1"/>
  <c r="P246" i="5"/>
  <c r="S246" i="5" s="1"/>
  <c r="P247" i="5"/>
  <c r="S247" i="5" s="1"/>
  <c r="P248" i="5"/>
  <c r="K244" i="5"/>
  <c r="O244" i="5" s="1"/>
  <c r="K245" i="5"/>
  <c r="K246" i="5"/>
  <c r="K247" i="5"/>
  <c r="K248" i="5"/>
  <c r="R237" i="5"/>
  <c r="R238" i="5"/>
  <c r="R239" i="5"/>
  <c r="R240" i="5"/>
  <c r="R241" i="5"/>
  <c r="P237" i="5"/>
  <c r="S237" i="5" s="1"/>
  <c r="P238" i="5"/>
  <c r="S238" i="5" s="1"/>
  <c r="P239" i="5"/>
  <c r="S239" i="5" s="1"/>
  <c r="P240" i="5"/>
  <c r="S240" i="5" s="1"/>
  <c r="P241" i="5"/>
  <c r="S241" i="5" s="1"/>
  <c r="K237" i="5"/>
  <c r="O237" i="5" s="1"/>
  <c r="K238" i="5"/>
  <c r="K239" i="5"/>
  <c r="K240" i="5"/>
  <c r="K241" i="5"/>
  <c r="R230" i="5"/>
  <c r="R231" i="5"/>
  <c r="R232" i="5"/>
  <c r="R233" i="5"/>
  <c r="R234" i="5"/>
  <c r="P230" i="5"/>
  <c r="P231" i="5"/>
  <c r="P232" i="5"/>
  <c r="P233" i="5"/>
  <c r="S233" i="5" s="1"/>
  <c r="P234" i="5"/>
  <c r="S234" i="5" s="1"/>
  <c r="K230" i="5"/>
  <c r="O230" i="5" s="1"/>
  <c r="K231" i="5"/>
  <c r="K232" i="5"/>
  <c r="K233" i="5"/>
  <c r="K234" i="5"/>
  <c r="R223" i="5"/>
  <c r="R224" i="5"/>
  <c r="R225" i="5"/>
  <c r="R226" i="5"/>
  <c r="R227" i="5"/>
  <c r="P223" i="5"/>
  <c r="S223" i="5" s="1"/>
  <c r="P224" i="5"/>
  <c r="S224" i="5" s="1"/>
  <c r="P225" i="5"/>
  <c r="S225" i="5" s="1"/>
  <c r="P226" i="5"/>
  <c r="S226" i="5" s="1"/>
  <c r="P227" i="5"/>
  <c r="S227" i="5" s="1"/>
  <c r="K223" i="5"/>
  <c r="O223" i="5" s="1"/>
  <c r="K224" i="5"/>
  <c r="K225" i="5"/>
  <c r="K226" i="5"/>
  <c r="K227" i="5"/>
  <c r="R216" i="5"/>
  <c r="R217" i="5"/>
  <c r="R218" i="5"/>
  <c r="R219" i="5"/>
  <c r="R220" i="5"/>
  <c r="P216" i="5"/>
  <c r="S216" i="5" s="1"/>
  <c r="P217" i="5"/>
  <c r="S217" i="5" s="1"/>
  <c r="P218" i="5"/>
  <c r="S218" i="5" s="1"/>
  <c r="P219" i="5"/>
  <c r="S219" i="5" s="1"/>
  <c r="P220" i="5"/>
  <c r="S220" i="5" s="1"/>
  <c r="K216" i="5"/>
  <c r="O216" i="5" s="1"/>
  <c r="K217" i="5"/>
  <c r="K218" i="5"/>
  <c r="K219" i="5"/>
  <c r="K220" i="5"/>
  <c r="R209" i="5"/>
  <c r="R210" i="5"/>
  <c r="R211" i="5"/>
  <c r="R212" i="5"/>
  <c r="R213" i="5"/>
  <c r="P209" i="5"/>
  <c r="S209" i="5" s="1"/>
  <c r="P210" i="5"/>
  <c r="S210" i="5" s="1"/>
  <c r="P211" i="5"/>
  <c r="S211" i="5" s="1"/>
  <c r="P212" i="5"/>
  <c r="S212" i="5" s="1"/>
  <c r="P213" i="5"/>
  <c r="S213" i="5" s="1"/>
  <c r="K209" i="5"/>
  <c r="O209" i="5" s="1"/>
  <c r="T209" i="5" s="1"/>
  <c r="U209" i="5" s="1"/>
  <c r="K210" i="5"/>
  <c r="K211" i="5"/>
  <c r="K212" i="5"/>
  <c r="K213" i="5"/>
  <c r="R202" i="5"/>
  <c r="R203" i="5"/>
  <c r="R204" i="5"/>
  <c r="R205" i="5"/>
  <c r="R206" i="5"/>
  <c r="P202" i="5"/>
  <c r="S202" i="5" s="1"/>
  <c r="P203" i="5"/>
  <c r="S203" i="5" s="1"/>
  <c r="P204" i="5"/>
  <c r="S204" i="5" s="1"/>
  <c r="P205" i="5"/>
  <c r="S205" i="5" s="1"/>
  <c r="P206" i="5"/>
  <c r="S206" i="5" s="1"/>
  <c r="K202" i="5"/>
  <c r="O202" i="5" s="1"/>
  <c r="T202" i="5" s="1"/>
  <c r="U202" i="5" s="1"/>
  <c r="K203" i="5"/>
  <c r="K204" i="5"/>
  <c r="K205" i="5"/>
  <c r="K206" i="5"/>
  <c r="R195" i="5"/>
  <c r="R196" i="5"/>
  <c r="R197" i="5"/>
  <c r="R198" i="5"/>
  <c r="R199" i="5"/>
  <c r="P195" i="5"/>
  <c r="S195" i="5" s="1"/>
  <c r="P196" i="5"/>
  <c r="S196" i="5" s="1"/>
  <c r="P197" i="5"/>
  <c r="S197" i="5" s="1"/>
  <c r="P198" i="5"/>
  <c r="S198" i="5" s="1"/>
  <c r="P199" i="5"/>
  <c r="S199" i="5" s="1"/>
  <c r="K195" i="5"/>
  <c r="O195" i="5" s="1"/>
  <c r="K196" i="5"/>
  <c r="K197" i="5"/>
  <c r="K198" i="5"/>
  <c r="K199" i="5"/>
  <c r="R188" i="5"/>
  <c r="R189" i="5"/>
  <c r="R190" i="5"/>
  <c r="R191" i="5"/>
  <c r="R192" i="5"/>
  <c r="P188" i="5"/>
  <c r="P189" i="5"/>
  <c r="P190" i="5"/>
  <c r="P191" i="5"/>
  <c r="S191" i="5" s="1"/>
  <c r="P192" i="5"/>
  <c r="S192" i="5" s="1"/>
  <c r="K188" i="5"/>
  <c r="O188" i="5" s="1"/>
  <c r="K189" i="5"/>
  <c r="K190" i="5"/>
  <c r="K191" i="5"/>
  <c r="K192" i="5"/>
  <c r="R181" i="5"/>
  <c r="R182" i="5"/>
  <c r="R183" i="5"/>
  <c r="R184" i="5"/>
  <c r="R185" i="5"/>
  <c r="P181" i="5"/>
  <c r="S181" i="5" s="1"/>
  <c r="P182" i="5"/>
  <c r="S182" i="5" s="1"/>
  <c r="P183" i="5"/>
  <c r="S183" i="5" s="1"/>
  <c r="P184" i="5"/>
  <c r="S184" i="5" s="1"/>
  <c r="P185" i="5"/>
  <c r="S185" i="5" s="1"/>
  <c r="K181" i="5"/>
  <c r="O181" i="5" s="1"/>
  <c r="T181" i="5" s="1"/>
  <c r="U181" i="5" s="1"/>
  <c r="K182" i="5"/>
  <c r="K183" i="5"/>
  <c r="K184" i="5"/>
  <c r="K185" i="5"/>
  <c r="R174" i="5"/>
  <c r="R175" i="5"/>
  <c r="R176" i="5"/>
  <c r="R177" i="5"/>
  <c r="R178" i="5"/>
  <c r="P174" i="5"/>
  <c r="S174" i="5" s="1"/>
  <c r="P175" i="5"/>
  <c r="S175" i="5" s="1"/>
  <c r="P176" i="5"/>
  <c r="S176" i="5" s="1"/>
  <c r="P177" i="5"/>
  <c r="S177" i="5" s="1"/>
  <c r="P178" i="5"/>
  <c r="S178" i="5" s="1"/>
  <c r="K174" i="5"/>
  <c r="O174" i="5" s="1"/>
  <c r="T174" i="5" s="1"/>
  <c r="U174" i="5" s="1"/>
  <c r="K175" i="5"/>
  <c r="K176" i="5"/>
  <c r="K177" i="5"/>
  <c r="K178" i="5"/>
  <c r="R167" i="5"/>
  <c r="R168" i="5"/>
  <c r="R169" i="5"/>
  <c r="R170" i="5"/>
  <c r="R171" i="5"/>
  <c r="P167" i="5"/>
  <c r="S167" i="5" s="1"/>
  <c r="P168" i="5"/>
  <c r="S168" i="5" s="1"/>
  <c r="P169" i="5"/>
  <c r="P170" i="5"/>
  <c r="P171" i="5"/>
  <c r="K167" i="5"/>
  <c r="O167" i="5" s="1"/>
  <c r="K168" i="5"/>
  <c r="K169" i="5"/>
  <c r="K170" i="5"/>
  <c r="K171" i="5"/>
  <c r="R160" i="5"/>
  <c r="R161" i="5"/>
  <c r="R162" i="5"/>
  <c r="R163" i="5"/>
  <c r="R164" i="5"/>
  <c r="P160" i="5"/>
  <c r="S160" i="5" s="1"/>
  <c r="P161" i="5"/>
  <c r="S161" i="5" s="1"/>
  <c r="P162" i="5"/>
  <c r="S162" i="5" s="1"/>
  <c r="P163" i="5"/>
  <c r="S163" i="5" s="1"/>
  <c r="P164" i="5"/>
  <c r="S164" i="5" s="1"/>
  <c r="K160" i="5"/>
  <c r="O160" i="5" s="1"/>
  <c r="K161" i="5"/>
  <c r="K162" i="5"/>
  <c r="K163" i="5"/>
  <c r="K164" i="5"/>
  <c r="R153" i="5"/>
  <c r="R154" i="5"/>
  <c r="R155" i="5"/>
  <c r="R156" i="5"/>
  <c r="R157" i="5"/>
  <c r="P153" i="5"/>
  <c r="S153" i="5" s="1"/>
  <c r="P154" i="5"/>
  <c r="S154" i="5" s="1"/>
  <c r="P155" i="5"/>
  <c r="S155" i="5" s="1"/>
  <c r="P156" i="5"/>
  <c r="S156" i="5" s="1"/>
  <c r="P157" i="5"/>
  <c r="S157" i="5" s="1"/>
  <c r="K153" i="5"/>
  <c r="O153" i="5" s="1"/>
  <c r="T153" i="5" s="1"/>
  <c r="U153" i="5" s="1"/>
  <c r="K154" i="5"/>
  <c r="K155" i="5"/>
  <c r="K156" i="5"/>
  <c r="K157" i="5"/>
  <c r="R146" i="5"/>
  <c r="R147" i="5"/>
  <c r="R148" i="5"/>
  <c r="R149" i="5"/>
  <c r="R150" i="5"/>
  <c r="P146" i="5"/>
  <c r="S146" i="5" s="1"/>
  <c r="P147" i="5"/>
  <c r="S147" i="5" s="1"/>
  <c r="P148" i="5"/>
  <c r="S148" i="5" s="1"/>
  <c r="P149" i="5"/>
  <c r="S149" i="5" s="1"/>
  <c r="P150" i="5"/>
  <c r="S150" i="5" s="1"/>
  <c r="K146" i="5"/>
  <c r="O146" i="5" s="1"/>
  <c r="T146" i="5" s="1"/>
  <c r="U146" i="5" s="1"/>
  <c r="K147" i="5"/>
  <c r="K148" i="5"/>
  <c r="K149" i="5"/>
  <c r="K150" i="5"/>
  <c r="R139" i="5"/>
  <c r="R140" i="5"/>
  <c r="R141" i="5"/>
  <c r="R142" i="5"/>
  <c r="R143" i="5"/>
  <c r="P139" i="5"/>
  <c r="S139" i="5" s="1"/>
  <c r="P140" i="5"/>
  <c r="S140" i="5" s="1"/>
  <c r="P141" i="5"/>
  <c r="S141" i="5" s="1"/>
  <c r="P142" i="5"/>
  <c r="S142" i="5" s="1"/>
  <c r="P143" i="5"/>
  <c r="S143" i="5" s="1"/>
  <c r="K139" i="5"/>
  <c r="O139" i="5" s="1"/>
  <c r="T139" i="5" s="1"/>
  <c r="U139" i="5" s="1"/>
  <c r="K140" i="5"/>
  <c r="K141" i="5"/>
  <c r="K142" i="5"/>
  <c r="K143" i="5"/>
  <c r="R132" i="5"/>
  <c r="R133" i="5"/>
  <c r="R134" i="5"/>
  <c r="R135" i="5"/>
  <c r="R136" i="5"/>
  <c r="P132" i="5"/>
  <c r="S132" i="5" s="1"/>
  <c r="P133" i="5"/>
  <c r="S133" i="5" s="1"/>
  <c r="P134" i="5"/>
  <c r="P135" i="5"/>
  <c r="P136" i="5"/>
  <c r="K132" i="5"/>
  <c r="O132" i="5" s="1"/>
  <c r="K133" i="5"/>
  <c r="K134" i="5"/>
  <c r="K135" i="5"/>
  <c r="K136" i="5"/>
  <c r="R125" i="5"/>
  <c r="R126" i="5"/>
  <c r="R127" i="5"/>
  <c r="R128" i="5"/>
  <c r="R129" i="5"/>
  <c r="P125" i="5"/>
  <c r="P126" i="5"/>
  <c r="P127" i="5"/>
  <c r="P128" i="5"/>
  <c r="P129" i="5"/>
  <c r="K125" i="5"/>
  <c r="O125" i="5" s="1"/>
  <c r="K126" i="5"/>
  <c r="K127" i="5"/>
  <c r="K128" i="5"/>
  <c r="K129" i="5"/>
  <c r="R118" i="5"/>
  <c r="R119" i="5"/>
  <c r="R120" i="5"/>
  <c r="R121" i="5"/>
  <c r="R122" i="5"/>
  <c r="P118" i="5"/>
  <c r="S118" i="5" s="1"/>
  <c r="P119" i="5"/>
  <c r="S119" i="5" s="1"/>
  <c r="P120" i="5"/>
  <c r="S120" i="5" s="1"/>
  <c r="P121" i="5"/>
  <c r="S121" i="5" s="1"/>
  <c r="P122" i="5"/>
  <c r="S122" i="5" s="1"/>
  <c r="K118" i="5"/>
  <c r="O118" i="5" s="1"/>
  <c r="T118" i="5" s="1"/>
  <c r="U118" i="5" s="1"/>
  <c r="K119" i="5"/>
  <c r="K120" i="5"/>
  <c r="K121" i="5"/>
  <c r="K122" i="5"/>
  <c r="R111" i="5"/>
  <c r="R112" i="5"/>
  <c r="R113" i="5"/>
  <c r="R114" i="5"/>
  <c r="R115" i="5"/>
  <c r="P111" i="5"/>
  <c r="S111" i="5" s="1"/>
  <c r="P112" i="5"/>
  <c r="S112" i="5" s="1"/>
  <c r="P113" i="5"/>
  <c r="S113" i="5" s="1"/>
  <c r="P114" i="5"/>
  <c r="S114" i="5" s="1"/>
  <c r="P115" i="5"/>
  <c r="S115" i="5" s="1"/>
  <c r="K111" i="5"/>
  <c r="O111" i="5" s="1"/>
  <c r="K112" i="5"/>
  <c r="K113" i="5"/>
  <c r="K114" i="5"/>
  <c r="K115" i="5"/>
  <c r="R104" i="5"/>
  <c r="R105" i="5"/>
  <c r="R106" i="5"/>
  <c r="R107" i="5"/>
  <c r="R108" i="5"/>
  <c r="P104" i="5"/>
  <c r="S104" i="5" s="1"/>
  <c r="P105" i="5"/>
  <c r="S105" i="5" s="1"/>
  <c r="P106" i="5"/>
  <c r="S106" i="5" s="1"/>
  <c r="P107" i="5"/>
  <c r="S107" i="5" s="1"/>
  <c r="P108" i="5"/>
  <c r="S108" i="5" s="1"/>
  <c r="K104" i="5"/>
  <c r="O104" i="5" s="1"/>
  <c r="T104" i="5" s="1"/>
  <c r="U104" i="5" s="1"/>
  <c r="K105" i="5"/>
  <c r="K106" i="5"/>
  <c r="K107" i="5"/>
  <c r="K108" i="5"/>
  <c r="R97" i="5"/>
  <c r="R98" i="5"/>
  <c r="R99" i="5"/>
  <c r="R100" i="5"/>
  <c r="R101" i="5"/>
  <c r="P97" i="5"/>
  <c r="S97" i="5" s="1"/>
  <c r="P98" i="5"/>
  <c r="S98" i="5" s="1"/>
  <c r="P99" i="5"/>
  <c r="S99" i="5" s="1"/>
  <c r="P100" i="5"/>
  <c r="S100" i="5" s="1"/>
  <c r="P101" i="5"/>
  <c r="S101" i="5" s="1"/>
  <c r="K97" i="5"/>
  <c r="O97" i="5" s="1"/>
  <c r="T97" i="5" s="1"/>
  <c r="U97" i="5" s="1"/>
  <c r="K98" i="5"/>
  <c r="K99" i="5"/>
  <c r="K100" i="5"/>
  <c r="K101" i="5"/>
  <c r="R90" i="5"/>
  <c r="R91" i="5"/>
  <c r="R92" i="5"/>
  <c r="R93" i="5"/>
  <c r="R94" i="5"/>
  <c r="P90" i="5"/>
  <c r="S90" i="5" s="1"/>
  <c r="P91" i="5"/>
  <c r="S91" i="5" s="1"/>
  <c r="P92" i="5"/>
  <c r="S92" i="5" s="1"/>
  <c r="P93" i="5"/>
  <c r="S93" i="5" s="1"/>
  <c r="P94" i="5"/>
  <c r="S94" i="5" s="1"/>
  <c r="K90" i="5"/>
  <c r="O90" i="5" s="1"/>
  <c r="T90" i="5" s="1"/>
  <c r="U90" i="5" s="1"/>
  <c r="K91" i="5"/>
  <c r="K92" i="5"/>
  <c r="K93" i="5"/>
  <c r="K94" i="5"/>
  <c r="R83" i="5"/>
  <c r="R84" i="5"/>
  <c r="R85" i="5"/>
  <c r="R86" i="5"/>
  <c r="R87" i="5"/>
  <c r="P83" i="5"/>
  <c r="S83" i="5" s="1"/>
  <c r="P84" i="5"/>
  <c r="S84" i="5" s="1"/>
  <c r="P85" i="5"/>
  <c r="S85" i="5" s="1"/>
  <c r="P86" i="5"/>
  <c r="S86" i="5" s="1"/>
  <c r="P87" i="5"/>
  <c r="S87" i="5" s="1"/>
  <c r="K83" i="5"/>
  <c r="O83" i="5" s="1"/>
  <c r="T83" i="5" s="1"/>
  <c r="U83" i="5" s="1"/>
  <c r="K84" i="5"/>
  <c r="K85" i="5"/>
  <c r="K86" i="5"/>
  <c r="K87" i="5"/>
  <c r="R76" i="5"/>
  <c r="R77" i="5"/>
  <c r="R78" i="5"/>
  <c r="R79" i="5"/>
  <c r="R80" i="5"/>
  <c r="P76" i="5"/>
  <c r="S76" i="5" s="1"/>
  <c r="P77" i="5"/>
  <c r="S77" i="5" s="1"/>
  <c r="P78" i="5"/>
  <c r="S78" i="5" s="1"/>
  <c r="P79" i="5"/>
  <c r="S79" i="5" s="1"/>
  <c r="P80" i="5"/>
  <c r="S80" i="5" s="1"/>
  <c r="K76" i="5"/>
  <c r="O76" i="5" s="1"/>
  <c r="T76" i="5" s="1"/>
  <c r="U76" i="5" s="1"/>
  <c r="K77" i="5"/>
  <c r="K78" i="5"/>
  <c r="K79" i="5"/>
  <c r="K80" i="5"/>
  <c r="R69" i="5"/>
  <c r="R70" i="5"/>
  <c r="R71" i="5"/>
  <c r="R72" i="5"/>
  <c r="R73" i="5"/>
  <c r="P69" i="5"/>
  <c r="S69" i="5" s="1"/>
  <c r="P70" i="5"/>
  <c r="S70" i="5" s="1"/>
  <c r="P71" i="5"/>
  <c r="S71" i="5" s="1"/>
  <c r="P72" i="5"/>
  <c r="S72" i="5" s="1"/>
  <c r="P73" i="5"/>
  <c r="S73" i="5" s="1"/>
  <c r="K69" i="5"/>
  <c r="O69" i="5" s="1"/>
  <c r="T69" i="5" s="1"/>
  <c r="U69" i="5" s="1"/>
  <c r="K70" i="5"/>
  <c r="K71" i="5"/>
  <c r="K72" i="5"/>
  <c r="K73" i="5"/>
  <c r="R62" i="5"/>
  <c r="R63" i="5"/>
  <c r="R64" i="5"/>
  <c r="R65" i="5"/>
  <c r="R66" i="5"/>
  <c r="P62" i="5"/>
  <c r="S62" i="5" s="1"/>
  <c r="P63" i="5"/>
  <c r="S63" i="5" s="1"/>
  <c r="P64" i="5"/>
  <c r="S64" i="5" s="1"/>
  <c r="P65" i="5"/>
  <c r="S65" i="5" s="1"/>
  <c r="P66" i="5"/>
  <c r="S66" i="5" s="1"/>
  <c r="K62" i="5"/>
  <c r="O62" i="5" s="1"/>
  <c r="T62" i="5" s="1"/>
  <c r="U62" i="5" s="1"/>
  <c r="K63" i="5"/>
  <c r="K64" i="5"/>
  <c r="K65" i="5"/>
  <c r="K66" i="5"/>
  <c r="J8" i="3"/>
  <c r="I8" i="3"/>
  <c r="H8" i="3"/>
  <c r="D8" i="3"/>
  <c r="B8" i="3"/>
  <c r="C8" i="3" s="1"/>
  <c r="J7" i="3"/>
  <c r="I7" i="3"/>
  <c r="H7" i="3"/>
  <c r="D7" i="3"/>
  <c r="B7" i="3"/>
  <c r="C7" i="3" s="1"/>
  <c r="J6" i="3"/>
  <c r="I6" i="3"/>
  <c r="H6" i="3"/>
  <c r="D6" i="3"/>
  <c r="B6" i="3"/>
  <c r="C6" i="3" s="1"/>
  <c r="J5" i="3"/>
  <c r="I5" i="3"/>
  <c r="H5" i="3"/>
  <c r="D5" i="3"/>
  <c r="B5" i="3"/>
  <c r="C5" i="3" s="1"/>
  <c r="J4" i="3"/>
  <c r="I4" i="3"/>
  <c r="H4" i="3"/>
  <c r="D4" i="3"/>
  <c r="B4" i="3"/>
  <c r="C4" i="3" s="1"/>
  <c r="G4" i="3" s="1"/>
  <c r="H5" i="4" l="1"/>
  <c r="H4" i="4"/>
  <c r="I4" i="4" s="1"/>
  <c r="I5" i="4" s="1"/>
  <c r="S381" i="5"/>
  <c r="S286" i="5"/>
  <c r="T286" i="5" s="1"/>
  <c r="U286" i="5" s="1"/>
  <c r="S287" i="5"/>
  <c r="S288" i="5"/>
  <c r="S289" i="5"/>
  <c r="T244" i="5"/>
  <c r="U244" i="5" s="1"/>
  <c r="S259" i="5"/>
  <c r="S260" i="5"/>
  <c r="S261" i="5"/>
  <c r="T398" i="5"/>
  <c r="U398" i="5" s="1"/>
  <c r="S363" i="5"/>
  <c r="T363" i="5" s="1"/>
  <c r="U363" i="5" s="1"/>
  <c r="S364" i="5"/>
  <c r="S268" i="5"/>
  <c r="S269" i="5"/>
  <c r="T265" i="5"/>
  <c r="U265" i="5" s="1"/>
  <c r="S230" i="5"/>
  <c r="T230" i="5" s="1"/>
  <c r="U230" i="5" s="1"/>
  <c r="S231" i="5"/>
  <c r="S232" i="5"/>
  <c r="S134" i="5"/>
  <c r="S135" i="5"/>
  <c r="S136" i="5"/>
  <c r="S359" i="5"/>
  <c r="S360" i="5"/>
  <c r="S258" i="5"/>
  <c r="T258" i="5" s="1"/>
  <c r="U258" i="5" s="1"/>
  <c r="T132" i="5"/>
  <c r="U132" i="5" s="1"/>
  <c r="T391" i="5"/>
  <c r="U391" i="5" s="1"/>
  <c r="S356" i="5"/>
  <c r="T356" i="5" s="1"/>
  <c r="U356" i="5" s="1"/>
  <c r="S357" i="5"/>
  <c r="S358" i="5"/>
  <c r="S297" i="5"/>
  <c r="S188" i="5"/>
  <c r="T188" i="5" s="1"/>
  <c r="U188" i="5" s="1"/>
  <c r="S189" i="5"/>
  <c r="S190" i="5"/>
  <c r="S377" i="5"/>
  <c r="T377" i="5" s="1"/>
  <c r="U377" i="5" s="1"/>
  <c r="K5" i="3"/>
  <c r="S251" i="5"/>
  <c r="T251" i="5" s="1"/>
  <c r="U251" i="5" s="1"/>
  <c r="T111" i="5"/>
  <c r="U111" i="5" s="1"/>
  <c r="S314" i="5"/>
  <c r="T314" i="5" s="1"/>
  <c r="U314" i="5" s="1"/>
  <c r="T349" i="5"/>
  <c r="U349" i="5" s="1"/>
  <c r="T279" i="5"/>
  <c r="U279" i="5" s="1"/>
  <c r="T195" i="5"/>
  <c r="U195" i="5" s="1"/>
  <c r="K4" i="3"/>
  <c r="L4" i="3" s="1"/>
  <c r="M4" i="3" s="1"/>
  <c r="B4" i="4" s="1"/>
  <c r="C4" i="4" s="1"/>
  <c r="T237" i="5"/>
  <c r="U237" i="5" s="1"/>
  <c r="T216" i="5"/>
  <c r="U216" i="5" s="1"/>
  <c r="S170" i="5"/>
  <c r="S171" i="5"/>
  <c r="T293" i="5"/>
  <c r="U293" i="5" s="1"/>
  <c r="K7" i="3"/>
  <c r="T223" i="5"/>
  <c r="U223" i="5" s="1"/>
  <c r="S169" i="5"/>
  <c r="K8" i="3"/>
  <c r="S324" i="5"/>
  <c r="S315" i="5"/>
  <c r="S316" i="5"/>
  <c r="S317" i="5"/>
  <c r="S318" i="5"/>
  <c r="S248" i="5"/>
  <c r="T167" i="5"/>
  <c r="U167" i="5" s="1"/>
  <c r="K6" i="3"/>
  <c r="S125" i="5"/>
  <c r="T125" i="5" s="1"/>
  <c r="U125" i="5" s="1"/>
  <c r="S126" i="5"/>
  <c r="S127" i="5"/>
  <c r="S128" i="5"/>
  <c r="S129" i="5"/>
  <c r="V405" i="5"/>
  <c r="V384" i="5"/>
  <c r="V370" i="5"/>
  <c r="V342" i="5"/>
  <c r="V335" i="5"/>
  <c r="V328" i="5"/>
  <c r="V321" i="5"/>
  <c r="V307" i="5"/>
  <c r="V300" i="5"/>
  <c r="V272" i="5"/>
  <c r="V209" i="5"/>
  <c r="V202" i="5"/>
  <c r="V181" i="5"/>
  <c r="V174" i="5"/>
  <c r="V153" i="5"/>
  <c r="V146" i="5"/>
  <c r="V139" i="5"/>
  <c r="V118" i="5"/>
  <c r="V104" i="5"/>
  <c r="V97" i="5"/>
  <c r="V90" i="5"/>
  <c r="V83" i="5"/>
  <c r="V76" i="5"/>
  <c r="V69" i="5"/>
  <c r="V62" i="5"/>
  <c r="T160" i="5"/>
  <c r="U160" i="5" s="1"/>
  <c r="W293" i="5" l="1" a="1"/>
  <c r="W293" i="5" s="1"/>
  <c r="H6" i="4"/>
  <c r="I6" i="4" s="1"/>
  <c r="V286" i="5"/>
  <c r="V244" i="5"/>
  <c r="V398" i="5"/>
  <c r="V363" i="5"/>
  <c r="V265" i="5"/>
  <c r="V230" i="5"/>
  <c r="V258" i="5"/>
  <c r="V132" i="5"/>
  <c r="V356" i="5"/>
  <c r="V391" i="5"/>
  <c r="V111" i="5"/>
  <c r="V349" i="5"/>
  <c r="V293" i="5"/>
  <c r="V279" i="5"/>
  <c r="V188" i="5"/>
  <c r="V195" i="5"/>
  <c r="V237" i="5"/>
  <c r="V216" i="5"/>
  <c r="V251" i="5"/>
  <c r="V223" i="5"/>
  <c r="V314" i="5"/>
  <c r="V167" i="5"/>
  <c r="V125" i="5"/>
  <c r="V377" i="5"/>
  <c r="V160" i="5"/>
  <c r="M258" i="5" l="1"/>
  <c r="M293" i="5"/>
  <c r="X293" i="5"/>
  <c r="H7" i="4"/>
  <c r="I7" i="4" s="1"/>
  <c r="W258" i="5" l="1" a="1"/>
  <c r="W258" i="5" s="1"/>
  <c r="X258" i="5" s="1"/>
  <c r="W321" i="5" a="1"/>
  <c r="W321" i="5" s="1"/>
  <c r="X321" i="5" s="1"/>
  <c r="M321" i="5"/>
  <c r="W90" i="5" a="1"/>
  <c r="W90" i="5" s="1"/>
  <c r="X90" i="5" s="1"/>
  <c r="M405" i="5"/>
  <c r="W405" i="5" a="1"/>
  <c r="W405" i="5" s="1"/>
  <c r="X405" i="5" s="1"/>
  <c r="H8" i="4"/>
  <c r="I8" i="4" s="1"/>
  <c r="M90" i="5" l="1"/>
  <c r="M181" i="5"/>
  <c r="W181" i="5" a="1"/>
  <c r="W181" i="5" s="1"/>
  <c r="X181" i="5" s="1"/>
  <c r="W188" i="5" a="1"/>
  <c r="W188" i="5" s="1"/>
  <c r="X188" i="5" s="1"/>
  <c r="M104" i="5"/>
  <c r="W104" i="5" a="1"/>
  <c r="W104" i="5" s="1"/>
  <c r="X104" i="5" s="1"/>
  <c r="M195" i="5"/>
  <c r="W195" i="5" a="1"/>
  <c r="W195" i="5" s="1"/>
  <c r="X195" i="5" s="1"/>
  <c r="W363" i="5" a="1"/>
  <c r="W363" i="5" s="1"/>
  <c r="X363" i="5" s="1"/>
  <c r="W307" i="5" a="1"/>
  <c r="W307" i="5" s="1"/>
  <c r="X307" i="5" s="1"/>
  <c r="M307" i="5"/>
  <c r="W279" i="5" a="1"/>
  <c r="W279" i="5" s="1"/>
  <c r="X279" i="5" s="1"/>
  <c r="M279" i="5"/>
  <c r="W300" i="5" a="1"/>
  <c r="W300" i="5" s="1"/>
  <c r="X300" i="5" s="1"/>
  <c r="M272" i="5"/>
  <c r="H9" i="4"/>
  <c r="I9" i="4" s="1"/>
  <c r="M188" i="5" l="1"/>
  <c r="W265" i="5" a="1"/>
  <c r="W265" i="5" s="1"/>
  <c r="X265" i="5" s="1"/>
  <c r="M265" i="5"/>
  <c r="M363" i="5"/>
  <c r="W223" i="5" a="1"/>
  <c r="W223" i="5" s="1"/>
  <c r="X223" i="5" s="1"/>
  <c r="W377" i="5" a="1"/>
  <c r="W377" i="5" s="1"/>
  <c r="X377" i="5" s="1"/>
  <c r="W153" i="5" a="1"/>
  <c r="W153" i="5" s="1"/>
  <c r="X153" i="5" s="1"/>
  <c r="M153" i="5"/>
  <c r="M370" i="5"/>
  <c r="W111" i="5" a="1"/>
  <c r="W111" i="5" s="1"/>
  <c r="X111" i="5" s="1"/>
  <c r="M83" i="5"/>
  <c r="W83" i="5" a="1"/>
  <c r="W83" i="5" s="1"/>
  <c r="X83" i="5" s="1"/>
  <c r="W356" i="5" a="1"/>
  <c r="W356" i="5" s="1"/>
  <c r="X356" i="5" s="1"/>
  <c r="M356" i="5"/>
  <c r="M118" i="5"/>
  <c r="W69" i="5" a="1"/>
  <c r="W69" i="5" s="1"/>
  <c r="X69" i="5" s="1"/>
  <c r="M300" i="5"/>
  <c r="W398" i="5" a="1"/>
  <c r="W398" i="5" s="1"/>
  <c r="X398" i="5" s="1"/>
  <c r="M391" i="5"/>
  <c r="W391" i="5" a="1"/>
  <c r="W391" i="5" s="1"/>
  <c r="X391" i="5" s="1"/>
  <c r="W272" i="5" a="1"/>
  <c r="W272" i="5" s="1"/>
  <c r="X272" i="5" s="1"/>
  <c r="M384" i="5"/>
  <c r="W384" i="5" a="1"/>
  <c r="W384" i="5" s="1"/>
  <c r="X384" i="5" s="1"/>
  <c r="M335" i="5"/>
  <c r="W335" i="5" a="1"/>
  <c r="W335" i="5" s="1"/>
  <c r="X335" i="5" s="1"/>
  <c r="M244" i="5"/>
  <c r="W244" i="5" a="1"/>
  <c r="W244" i="5" s="1"/>
  <c r="X244" i="5" s="1"/>
  <c r="H10" i="4"/>
  <c r="I10" i="4" s="1"/>
  <c r="W132" i="5" l="1" a="1"/>
  <c r="W132" i="5" s="1"/>
  <c r="X132" i="5" s="1"/>
  <c r="M132" i="5"/>
  <c r="M377" i="5"/>
  <c r="M328" i="5"/>
  <c r="W328" i="5" a="1"/>
  <c r="W328" i="5" s="1"/>
  <c r="X328" i="5" s="1"/>
  <c r="M202" i="5"/>
  <c r="M111" i="5"/>
  <c r="M125" i="5"/>
  <c r="W125" i="5" a="1"/>
  <c r="W125" i="5" s="1"/>
  <c r="X125" i="5" s="1"/>
  <c r="W230" i="5" a="1"/>
  <c r="W230" i="5" s="1"/>
  <c r="X230" i="5" s="1"/>
  <c r="M223" i="5"/>
  <c r="W370" i="5" a="1"/>
  <c r="W370" i="5" s="1"/>
  <c r="X370" i="5" s="1"/>
  <c r="W202" i="5" a="1"/>
  <c r="W202" i="5" s="1"/>
  <c r="X202" i="5" s="1"/>
  <c r="W76" i="5" a="1"/>
  <c r="W76" i="5" s="1"/>
  <c r="X76" i="5" s="1"/>
  <c r="M76" i="5"/>
  <c r="W118" i="5" a="1"/>
  <c r="W118" i="5" s="1"/>
  <c r="X118" i="5" s="1"/>
  <c r="M97" i="5"/>
  <c r="W97" i="5" a="1"/>
  <c r="W97" i="5" s="1"/>
  <c r="X97" i="5" s="1"/>
  <c r="W342" i="5" a="1"/>
  <c r="W342" i="5" s="1"/>
  <c r="X342" i="5" s="1"/>
  <c r="M398" i="5"/>
  <c r="M69" i="5"/>
  <c r="W139" i="5" a="1"/>
  <c r="W139" i="5" s="1"/>
  <c r="M322" i="5"/>
  <c r="N322" i="5" s="1"/>
  <c r="O322" i="5" s="1"/>
  <c r="T322" i="5" s="1"/>
  <c r="U322" i="5" s="1"/>
  <c r="V322" i="5" s="1"/>
  <c r="W364" i="5" a="1"/>
  <c r="W364" i="5" s="1"/>
  <c r="M364" i="5"/>
  <c r="N364" i="5" s="1"/>
  <c r="O364" i="5" s="1"/>
  <c r="T364" i="5" s="1"/>
  <c r="U364" i="5" s="1"/>
  <c r="V364" i="5" s="1"/>
  <c r="X364" i="5" s="1"/>
  <c r="H11" i="4"/>
  <c r="I11" i="4" s="1"/>
  <c r="M230" i="5" l="1"/>
  <c r="M286" i="5"/>
  <c r="W286" i="5" a="1"/>
  <c r="W286" i="5" s="1"/>
  <c r="X286" i="5" s="1"/>
  <c r="M216" i="5"/>
  <c r="W216" i="5" a="1"/>
  <c r="W216" i="5" s="1"/>
  <c r="X216" i="5" s="1"/>
  <c r="M349" i="5"/>
  <c r="W349" i="5" a="1"/>
  <c r="W349" i="5" s="1"/>
  <c r="X349" i="5" s="1"/>
  <c r="M146" i="5"/>
  <c r="M237" i="5"/>
  <c r="W322" i="5" a="1"/>
  <c r="W322" i="5" s="1"/>
  <c r="X322" i="5" s="1"/>
  <c r="M342" i="5"/>
  <c r="X139" i="5"/>
  <c r="M139" i="5"/>
  <c r="M314" i="5"/>
  <c r="W314" i="5" a="1"/>
  <c r="W314" i="5" s="1"/>
  <c r="X314" i="5" s="1"/>
  <c r="W209" i="5" a="1"/>
  <c r="W209" i="5" s="1"/>
  <c r="X209" i="5" s="1"/>
  <c r="M209" i="5"/>
  <c r="M98" i="5"/>
  <c r="N98" i="5" s="1"/>
  <c r="O98" i="5" s="1"/>
  <c r="T98" i="5" s="1"/>
  <c r="U98" i="5" s="1"/>
  <c r="V98" i="5" s="1"/>
  <c r="H12" i="4"/>
  <c r="I12" i="4" s="1"/>
  <c r="W146" i="5" l="1" a="1"/>
  <c r="W146" i="5" s="1"/>
  <c r="W237" i="5" a="1"/>
  <c r="W237" i="5" s="1"/>
  <c r="X237" i="5" s="1"/>
  <c r="M287" i="5"/>
  <c r="N287" i="5" s="1"/>
  <c r="O287" i="5" s="1"/>
  <c r="T287" i="5" s="1"/>
  <c r="U287" i="5" s="1"/>
  <c r="V287" i="5" s="1"/>
  <c r="W287" i="5" a="1"/>
  <c r="W287" i="5" s="1"/>
  <c r="W273" i="5" a="1"/>
  <c r="W273" i="5" s="1"/>
  <c r="W182" i="5" a="1"/>
  <c r="W182" i="5" s="1"/>
  <c r="M182" i="5"/>
  <c r="N182" i="5" s="1"/>
  <c r="O182" i="5" s="1"/>
  <c r="T182" i="5" s="1"/>
  <c r="U182" i="5" s="1"/>
  <c r="V182" i="5" s="1"/>
  <c r="X182" i="5" s="1"/>
  <c r="W189" i="5" a="1"/>
  <c r="W189" i="5" s="1"/>
  <c r="M189" i="5"/>
  <c r="N189" i="5" s="1"/>
  <c r="O189" i="5" s="1"/>
  <c r="T189" i="5" s="1"/>
  <c r="U189" i="5" s="1"/>
  <c r="V189" i="5" s="1"/>
  <c r="W154" i="5" a="1"/>
  <c r="W154" i="5" s="1"/>
  <c r="M154" i="5"/>
  <c r="N154" i="5" s="1"/>
  <c r="O154" i="5" s="1"/>
  <c r="T154" i="5" s="1"/>
  <c r="U154" i="5" s="1"/>
  <c r="V154" i="5" s="1"/>
  <c r="W91" i="5" a="1"/>
  <c r="W91" i="5" s="1"/>
  <c r="M91" i="5"/>
  <c r="N91" i="5" s="1"/>
  <c r="O91" i="5" s="1"/>
  <c r="T91" i="5" s="1"/>
  <c r="U91" i="5" s="1"/>
  <c r="V91" i="5" s="1"/>
  <c r="M259" i="5"/>
  <c r="N259" i="5" s="1"/>
  <c r="O259" i="5" s="1"/>
  <c r="T259" i="5" s="1"/>
  <c r="U259" i="5" s="1"/>
  <c r="V259" i="5" s="1"/>
  <c r="W251" i="5" a="1"/>
  <c r="W251" i="5" s="1"/>
  <c r="X251" i="5" s="1"/>
  <c r="M251" i="5"/>
  <c r="W259" i="5" a="1"/>
  <c r="W259" i="5" s="1"/>
  <c r="W371" i="5" a="1"/>
  <c r="W371" i="5" s="1"/>
  <c r="M371" i="5"/>
  <c r="N371" i="5" s="1"/>
  <c r="O371" i="5" s="1"/>
  <c r="T371" i="5" s="1"/>
  <c r="U371" i="5" s="1"/>
  <c r="V371" i="5" s="1"/>
  <c r="W167" i="5" a="1"/>
  <c r="W167" i="5" s="1"/>
  <c r="X167" i="5" s="1"/>
  <c r="M112" i="5"/>
  <c r="N112" i="5" s="1"/>
  <c r="O112" i="5" s="1"/>
  <c r="T112" i="5" s="1"/>
  <c r="U112" i="5" s="1"/>
  <c r="V112" i="5" s="1"/>
  <c r="W112" i="5" a="1"/>
  <c r="W112" i="5" s="1"/>
  <c r="W98" i="5" a="1"/>
  <c r="W98" i="5" s="1"/>
  <c r="X98" i="5" s="1"/>
  <c r="M350" i="5"/>
  <c r="N350" i="5" s="1"/>
  <c r="O350" i="5" s="1"/>
  <c r="T350" i="5" s="1"/>
  <c r="U350" i="5" s="1"/>
  <c r="V350" i="5" s="1"/>
  <c r="W350" i="5" a="1"/>
  <c r="W350" i="5" s="1"/>
  <c r="X350" i="5" s="1"/>
  <c r="W399" i="5" a="1"/>
  <c r="W399" i="5" s="1"/>
  <c r="H13" i="4"/>
  <c r="I13" i="4" s="1"/>
  <c r="M273" i="5" l="1"/>
  <c r="N273" i="5" s="1"/>
  <c r="O273" i="5" s="1"/>
  <c r="T273" i="5" s="1"/>
  <c r="U273" i="5" s="1"/>
  <c r="V273" i="5" s="1"/>
  <c r="X273" i="5" s="1"/>
  <c r="X287" i="5"/>
  <c r="X146" i="5"/>
  <c r="W147" i="5" a="1"/>
  <c r="W147" i="5" s="1"/>
  <c r="M147" i="5"/>
  <c r="N147" i="5" s="1"/>
  <c r="O147" i="5" s="1"/>
  <c r="T147" i="5" s="1"/>
  <c r="U147" i="5" s="1"/>
  <c r="V147" i="5" s="1"/>
  <c r="X147" i="5" s="1"/>
  <c r="W84" i="5" a="1"/>
  <c r="W84" i="5" s="1"/>
  <c r="W174" i="5" a="1"/>
  <c r="W174" i="5" s="1"/>
  <c r="X174" i="5" s="1"/>
  <c r="M174" i="5"/>
  <c r="W196" i="5" a="1"/>
  <c r="W196" i="5" s="1"/>
  <c r="M196" i="5"/>
  <c r="N196" i="5" s="1"/>
  <c r="O196" i="5" s="1"/>
  <c r="T196" i="5" s="1"/>
  <c r="U196" i="5" s="1"/>
  <c r="V196" i="5" s="1"/>
  <c r="M119" i="5"/>
  <c r="N119" i="5" s="1"/>
  <c r="O119" i="5" s="1"/>
  <c r="T119" i="5" s="1"/>
  <c r="U119" i="5" s="1"/>
  <c r="V119" i="5" s="1"/>
  <c r="X189" i="5"/>
  <c r="X154" i="5"/>
  <c r="X91" i="5"/>
  <c r="X259" i="5"/>
  <c r="X371" i="5"/>
  <c r="M105" i="5"/>
  <c r="N105" i="5" s="1"/>
  <c r="O105" i="5" s="1"/>
  <c r="T105" i="5" s="1"/>
  <c r="U105" i="5" s="1"/>
  <c r="V105" i="5" s="1"/>
  <c r="W105" i="5" a="1"/>
  <c r="W105" i="5" s="1"/>
  <c r="W77" i="5" a="1"/>
  <c r="W77" i="5" s="1"/>
  <c r="M203" i="5"/>
  <c r="N203" i="5" s="1"/>
  <c r="O203" i="5" s="1"/>
  <c r="T203" i="5" s="1"/>
  <c r="U203" i="5" s="1"/>
  <c r="V203" i="5" s="1"/>
  <c r="W203" i="5" a="1"/>
  <c r="W203" i="5" s="1"/>
  <c r="M160" i="5"/>
  <c r="M167" i="5"/>
  <c r="W266" i="5" a="1"/>
  <c r="W266" i="5" s="1"/>
  <c r="W210" i="5" a="1"/>
  <c r="W210" i="5" s="1"/>
  <c r="M210" i="5"/>
  <c r="N210" i="5" s="1"/>
  <c r="O210" i="5" s="1"/>
  <c r="T210" i="5" s="1"/>
  <c r="U210" i="5" s="1"/>
  <c r="V210" i="5" s="1"/>
  <c r="W70" i="5" a="1"/>
  <c r="W70" i="5" s="1"/>
  <c r="M70" i="5"/>
  <c r="N70" i="5" s="1"/>
  <c r="O70" i="5" s="1"/>
  <c r="T70" i="5" s="1"/>
  <c r="U70" i="5" s="1"/>
  <c r="V70" i="5" s="1"/>
  <c r="X70" i="5" s="1"/>
  <c r="W392" i="5" a="1"/>
  <c r="W392" i="5" s="1"/>
  <c r="M392" i="5"/>
  <c r="N392" i="5" s="1"/>
  <c r="O392" i="5" s="1"/>
  <c r="T392" i="5" s="1"/>
  <c r="U392" i="5" s="1"/>
  <c r="V392" i="5" s="1"/>
  <c r="X112" i="5"/>
  <c r="W294" i="5" a="1"/>
  <c r="W294" i="5" s="1"/>
  <c r="M294" i="5"/>
  <c r="N294" i="5" s="1"/>
  <c r="O294" i="5" s="1"/>
  <c r="T294" i="5" s="1"/>
  <c r="U294" i="5" s="1"/>
  <c r="V294" i="5" s="1"/>
  <c r="W126" i="5" a="1"/>
  <c r="W126" i="5" s="1"/>
  <c r="M399" i="5"/>
  <c r="N399" i="5" s="1"/>
  <c r="O399" i="5" s="1"/>
  <c r="T399" i="5" s="1"/>
  <c r="U399" i="5" s="1"/>
  <c r="V399" i="5" s="1"/>
  <c r="X399" i="5" s="1"/>
  <c r="W62" i="5" a="1"/>
  <c r="W62" i="5" s="1"/>
  <c r="H14" i="4"/>
  <c r="I14" i="4" s="1"/>
  <c r="X203" i="5" l="1"/>
  <c r="W119" i="5" a="1"/>
  <c r="W119" i="5" s="1"/>
  <c r="X119" i="5" s="1"/>
  <c r="X105" i="5"/>
  <c r="X196" i="5"/>
  <c r="W378" i="5" a="1"/>
  <c r="W378" i="5" s="1"/>
  <c r="M378" i="5"/>
  <c r="N378" i="5" s="1"/>
  <c r="O378" i="5" s="1"/>
  <c r="T378" i="5" s="1"/>
  <c r="U378" i="5" s="1"/>
  <c r="V378" i="5" s="1"/>
  <c r="M84" i="5"/>
  <c r="N84" i="5" s="1"/>
  <c r="O84" i="5" s="1"/>
  <c r="T84" i="5" s="1"/>
  <c r="U84" i="5" s="1"/>
  <c r="V84" i="5" s="1"/>
  <c r="X84" i="5" s="1"/>
  <c r="M77" i="5"/>
  <c r="N77" i="5" s="1"/>
  <c r="O77" i="5" s="1"/>
  <c r="T77" i="5" s="1"/>
  <c r="U77" i="5" s="1"/>
  <c r="V77" i="5" s="1"/>
  <c r="W238" i="5" a="1"/>
  <c r="W238" i="5" s="1"/>
  <c r="W160" i="5" a="1"/>
  <c r="W160" i="5" s="1"/>
  <c r="X160" i="5" s="1"/>
  <c r="W329" i="5" a="1"/>
  <c r="W329" i="5" s="1"/>
  <c r="W315" i="5" a="1"/>
  <c r="W315" i="5" s="1"/>
  <c r="M315" i="5"/>
  <c r="N315" i="5" s="1"/>
  <c r="O315" i="5" s="1"/>
  <c r="T315" i="5" s="1"/>
  <c r="U315" i="5" s="1"/>
  <c r="V315" i="5" s="1"/>
  <c r="W245" i="5" a="1"/>
  <c r="W245" i="5" s="1"/>
  <c r="M245" i="5"/>
  <c r="N245" i="5" s="1"/>
  <c r="O245" i="5" s="1"/>
  <c r="T245" i="5" s="1"/>
  <c r="U245" i="5" s="1"/>
  <c r="V245" i="5" s="1"/>
  <c r="X245" i="5" s="1"/>
  <c r="X77" i="5"/>
  <c r="X392" i="5"/>
  <c r="W406" i="5" a="1"/>
  <c r="W406" i="5" s="1"/>
  <c r="W407" i="5" s="1" a="1"/>
  <c r="W407" i="5" s="1"/>
  <c r="M406" i="5"/>
  <c r="N406" i="5" s="1"/>
  <c r="O406" i="5" s="1"/>
  <c r="T406" i="5" s="1"/>
  <c r="U406" i="5" s="1"/>
  <c r="V406" i="5" s="1"/>
  <c r="X406" i="5" s="1"/>
  <c r="M231" i="5"/>
  <c r="N231" i="5" s="1"/>
  <c r="O231" i="5" s="1"/>
  <c r="T231" i="5" s="1"/>
  <c r="U231" i="5" s="1"/>
  <c r="V231" i="5" s="1"/>
  <c r="W231" i="5" a="1"/>
  <c r="W231" i="5" s="1"/>
  <c r="M266" i="5"/>
  <c r="N266" i="5" s="1"/>
  <c r="O266" i="5" s="1"/>
  <c r="T266" i="5" s="1"/>
  <c r="U266" i="5" s="1"/>
  <c r="V266" i="5" s="1"/>
  <c r="X266" i="5" s="1"/>
  <c r="M301" i="5"/>
  <c r="N301" i="5" s="1"/>
  <c r="O301" i="5" s="1"/>
  <c r="T301" i="5" s="1"/>
  <c r="U301" i="5" s="1"/>
  <c r="V301" i="5" s="1"/>
  <c r="M357" i="5"/>
  <c r="N357" i="5" s="1"/>
  <c r="O357" i="5" s="1"/>
  <c r="T357" i="5" s="1"/>
  <c r="U357" i="5" s="1"/>
  <c r="V357" i="5" s="1"/>
  <c r="X210" i="5"/>
  <c r="X294" i="5"/>
  <c r="W336" i="5" a="1"/>
  <c r="W336" i="5" s="1"/>
  <c r="M126" i="5"/>
  <c r="N126" i="5" s="1"/>
  <c r="O126" i="5" s="1"/>
  <c r="T126" i="5" s="1"/>
  <c r="U126" i="5" s="1"/>
  <c r="V126" i="5" s="1"/>
  <c r="X126" i="5" s="1"/>
  <c r="W92" i="5" a="1"/>
  <c r="W92" i="5" s="1"/>
  <c r="X62" i="5"/>
  <c r="M62" i="5"/>
  <c r="E4" i="3"/>
  <c r="H15" i="4"/>
  <c r="I15" i="4" s="1"/>
  <c r="M238" i="5" l="1"/>
  <c r="N238" i="5" s="1"/>
  <c r="O238" i="5" s="1"/>
  <c r="T238" i="5" s="1"/>
  <c r="U238" i="5" s="1"/>
  <c r="V238" i="5" s="1"/>
  <c r="X238" i="5" s="1"/>
  <c r="M329" i="5"/>
  <c r="N329" i="5" s="1"/>
  <c r="O329" i="5" s="1"/>
  <c r="T329" i="5" s="1"/>
  <c r="U329" i="5" s="1"/>
  <c r="V329" i="5" s="1"/>
  <c r="X329" i="5" s="1"/>
  <c r="X378" i="5"/>
  <c r="X315" i="5"/>
  <c r="M407" i="5"/>
  <c r="N407" i="5" s="1"/>
  <c r="O407" i="5" s="1"/>
  <c r="T407" i="5" s="1"/>
  <c r="U407" i="5" s="1"/>
  <c r="V407" i="5" s="1"/>
  <c r="X407" i="5" s="1"/>
  <c r="W133" i="5" a="1"/>
  <c r="W133" i="5" s="1"/>
  <c r="W301" i="5" a="1"/>
  <c r="W301" i="5" s="1"/>
  <c r="W357" i="5" a="1"/>
  <c r="W357" i="5" s="1"/>
  <c r="X357" i="5" s="1"/>
  <c r="X231" i="5"/>
  <c r="W308" i="5" a="1"/>
  <c r="W308" i="5" s="1"/>
  <c r="M308" i="5"/>
  <c r="N308" i="5" s="1"/>
  <c r="O308" i="5" s="1"/>
  <c r="T308" i="5" s="1"/>
  <c r="U308" i="5" s="1"/>
  <c r="V308" i="5" s="1"/>
  <c r="W224" i="5" a="1"/>
  <c r="W224" i="5" s="1"/>
  <c r="M224" i="5"/>
  <c r="N224" i="5" s="1"/>
  <c r="O224" i="5" s="1"/>
  <c r="T224" i="5" s="1"/>
  <c r="U224" i="5" s="1"/>
  <c r="V224" i="5" s="1"/>
  <c r="W385" i="5" a="1"/>
  <c r="W385" i="5" s="1"/>
  <c r="M343" i="5"/>
  <c r="N343" i="5" s="1"/>
  <c r="O343" i="5" s="1"/>
  <c r="T343" i="5" s="1"/>
  <c r="U343" i="5" s="1"/>
  <c r="V343" i="5" s="1"/>
  <c r="M336" i="5"/>
  <c r="N336" i="5" s="1"/>
  <c r="O336" i="5" s="1"/>
  <c r="T336" i="5" s="1"/>
  <c r="U336" i="5" s="1"/>
  <c r="V336" i="5" s="1"/>
  <c r="X336" i="5" s="1"/>
  <c r="W260" i="5" a="1"/>
  <c r="W260" i="5" s="1"/>
  <c r="M260" i="5"/>
  <c r="N260" i="5" s="1"/>
  <c r="O260" i="5" s="1"/>
  <c r="T260" i="5" s="1"/>
  <c r="U260" i="5" s="1"/>
  <c r="V260" i="5" s="1"/>
  <c r="W372" i="5" a="1"/>
  <c r="W372" i="5" s="1"/>
  <c r="M92" i="5"/>
  <c r="N92" i="5" s="1"/>
  <c r="O92" i="5" s="1"/>
  <c r="T92" i="5" s="1"/>
  <c r="U92" i="5" s="1"/>
  <c r="D4" i="4"/>
  <c r="E4" i="4" s="1"/>
  <c r="H16" i="4"/>
  <c r="I16" i="4" s="1"/>
  <c r="X308" i="5" l="1"/>
  <c r="M133" i="5"/>
  <c r="N133" i="5" s="1"/>
  <c r="O133" i="5" s="1"/>
  <c r="T133" i="5" s="1"/>
  <c r="U133" i="5" s="1"/>
  <c r="V133" i="5" s="1"/>
  <c r="X133" i="5" s="1"/>
  <c r="M385" i="5"/>
  <c r="N385" i="5" s="1"/>
  <c r="O385" i="5" s="1"/>
  <c r="T385" i="5" s="1"/>
  <c r="U385" i="5" s="1"/>
  <c r="V385" i="5" s="1"/>
  <c r="W183" i="5" a="1"/>
  <c r="W183" i="5" s="1"/>
  <c r="M183" i="5"/>
  <c r="N183" i="5" s="1"/>
  <c r="O183" i="5" s="1"/>
  <c r="T183" i="5" s="1"/>
  <c r="U183" i="5" s="1"/>
  <c r="V183" i="5" s="1"/>
  <c r="X183" i="5" s="1"/>
  <c r="M372" i="5"/>
  <c r="N372" i="5" s="1"/>
  <c r="O372" i="5" s="1"/>
  <c r="T372" i="5" s="1"/>
  <c r="U372" i="5" s="1"/>
  <c r="V372" i="5" s="1"/>
  <c r="X372" i="5" s="1"/>
  <c r="X385" i="5"/>
  <c r="X224" i="5"/>
  <c r="X343" i="5"/>
  <c r="X260" i="5"/>
  <c r="X301" i="5"/>
  <c r="W280" i="5" a="1"/>
  <c r="W280" i="5" s="1"/>
  <c r="M280" i="5"/>
  <c r="N280" i="5" s="1"/>
  <c r="O280" i="5" s="1"/>
  <c r="T280" i="5" s="1"/>
  <c r="U280" i="5" s="1"/>
  <c r="V280" i="5" s="1"/>
  <c r="W217" i="5" a="1"/>
  <c r="W217" i="5" s="1"/>
  <c r="M217" i="5"/>
  <c r="N217" i="5" s="1"/>
  <c r="O217" i="5" s="1"/>
  <c r="T217" i="5" s="1"/>
  <c r="U217" i="5" s="1"/>
  <c r="V217" i="5" s="1"/>
  <c r="M204" i="5"/>
  <c r="N204" i="5" s="1"/>
  <c r="O204" i="5" s="1"/>
  <c r="T204" i="5" s="1"/>
  <c r="U204" i="5" s="1"/>
  <c r="V204" i="5" s="1"/>
  <c r="M323" i="5"/>
  <c r="N323" i="5" s="1"/>
  <c r="O323" i="5" s="1"/>
  <c r="T323" i="5" s="1"/>
  <c r="U323" i="5" s="1"/>
  <c r="V323" i="5" s="1"/>
  <c r="W323" i="5" a="1"/>
  <c r="W323" i="5" s="1"/>
  <c r="W351" i="5" a="1"/>
  <c r="W351" i="5" s="1"/>
  <c r="M351" i="5"/>
  <c r="N351" i="5" s="1"/>
  <c r="O351" i="5" s="1"/>
  <c r="T351" i="5" s="1"/>
  <c r="U351" i="5" s="1"/>
  <c r="V351" i="5" s="1"/>
  <c r="W106" i="5" a="1"/>
  <c r="W106" i="5" s="1"/>
  <c r="V92" i="5"/>
  <c r="X92" i="5" s="1"/>
  <c r="H17" i="4"/>
  <c r="I17" i="4" s="1"/>
  <c r="X217" i="5" l="1"/>
  <c r="W302" i="5" a="1"/>
  <c r="W302" i="5" s="1"/>
  <c r="W288" i="5" a="1"/>
  <c r="W288" i="5" s="1"/>
  <c r="M365" i="5"/>
  <c r="N365" i="5" s="1"/>
  <c r="O365" i="5" s="1"/>
  <c r="T365" i="5" s="1"/>
  <c r="U365" i="5" s="1"/>
  <c r="V365" i="5" s="1"/>
  <c r="W365" i="5" a="1"/>
  <c r="W365" i="5" s="1"/>
  <c r="M267" i="5"/>
  <c r="N267" i="5" s="1"/>
  <c r="O267" i="5" s="1"/>
  <c r="T267" i="5" s="1"/>
  <c r="U267" i="5" s="1"/>
  <c r="V267" i="5" s="1"/>
  <c r="M211" i="5"/>
  <c r="N211" i="5" s="1"/>
  <c r="O211" i="5" s="1"/>
  <c r="T211" i="5" s="1"/>
  <c r="U211" i="5" s="1"/>
  <c r="V211" i="5" s="1"/>
  <c r="W211" i="5" a="1"/>
  <c r="W211" i="5" s="1"/>
  <c r="M344" i="5"/>
  <c r="N344" i="5" s="1"/>
  <c r="O344" i="5" s="1"/>
  <c r="T344" i="5" s="1"/>
  <c r="U344" i="5" s="1"/>
  <c r="V344" i="5" s="1"/>
  <c r="X344" i="5" s="1"/>
  <c r="W316" i="5" a="1"/>
  <c r="W316" i="5" s="1"/>
  <c r="M316" i="5"/>
  <c r="N316" i="5" s="1"/>
  <c r="O316" i="5" s="1"/>
  <c r="T316" i="5" s="1"/>
  <c r="U316" i="5" s="1"/>
  <c r="V316" i="5" s="1"/>
  <c r="X316" i="5" s="1"/>
  <c r="W267" i="5" a="1"/>
  <c r="W267" i="5" s="1"/>
  <c r="W204" i="5" a="1"/>
  <c r="W204" i="5" s="1"/>
  <c r="X204" i="5" s="1"/>
  <c r="X280" i="5"/>
  <c r="X351" i="5"/>
  <c r="M386" i="5"/>
  <c r="N386" i="5" s="1"/>
  <c r="O386" i="5" s="1"/>
  <c r="T386" i="5" s="1"/>
  <c r="U386" i="5" s="1"/>
  <c r="V386" i="5" s="1"/>
  <c r="X323" i="5"/>
  <c r="W175" i="5" a="1"/>
  <c r="W175" i="5" s="1"/>
  <c r="M175" i="5"/>
  <c r="N175" i="5" s="1"/>
  <c r="O175" i="5" s="1"/>
  <c r="T175" i="5" s="1"/>
  <c r="U175" i="5" s="1"/>
  <c r="V175" i="5" s="1"/>
  <c r="W168" i="5" a="1"/>
  <c r="W168" i="5" s="1"/>
  <c r="W309" i="5" a="1"/>
  <c r="W309" i="5" s="1"/>
  <c r="M309" i="5"/>
  <c r="N309" i="5" s="1"/>
  <c r="O309" i="5" s="1"/>
  <c r="T309" i="5" s="1"/>
  <c r="U309" i="5" s="1"/>
  <c r="M232" i="5"/>
  <c r="N232" i="5" s="1"/>
  <c r="O232" i="5" s="1"/>
  <c r="T232" i="5" s="1"/>
  <c r="U232" i="5" s="1"/>
  <c r="V232" i="5" s="1"/>
  <c r="W232" i="5" a="1"/>
  <c r="W232" i="5" s="1"/>
  <c r="M106" i="5"/>
  <c r="N106" i="5" s="1"/>
  <c r="O106" i="5" s="1"/>
  <c r="T106" i="5" s="1"/>
  <c r="U106" i="5" s="1"/>
  <c r="V106" i="5" s="1"/>
  <c r="X106" i="5" s="1"/>
  <c r="W197" i="5" a="1"/>
  <c r="W197" i="5" s="1"/>
  <c r="W155" i="5" a="1"/>
  <c r="W155" i="5" s="1"/>
  <c r="W148" i="5" a="1"/>
  <c r="W148" i="5" s="1"/>
  <c r="W337" i="5" a="1"/>
  <c r="W337" i="5" s="1"/>
  <c r="V309" i="5"/>
  <c r="X309" i="5" s="1"/>
  <c r="M197" i="5"/>
  <c r="N197" i="5" s="1"/>
  <c r="O197" i="5" s="1"/>
  <c r="T197" i="5" s="1"/>
  <c r="U197" i="5" s="1"/>
  <c r="M155" i="5"/>
  <c r="N155" i="5" s="1"/>
  <c r="O155" i="5" s="1"/>
  <c r="T155" i="5" s="1"/>
  <c r="U155" i="5" s="1"/>
  <c r="M337" i="5"/>
  <c r="N337" i="5" s="1"/>
  <c r="O337" i="5" s="1"/>
  <c r="T337" i="5" s="1"/>
  <c r="U337" i="5" s="1"/>
  <c r="H18" i="4"/>
  <c r="I18" i="4" s="1"/>
  <c r="X365" i="5" l="1"/>
  <c r="X267" i="5"/>
  <c r="M302" i="5"/>
  <c r="N302" i="5" s="1"/>
  <c r="O302" i="5" s="1"/>
  <c r="T302" i="5" s="1"/>
  <c r="U302" i="5" s="1"/>
  <c r="V302" i="5" s="1"/>
  <c r="X302" i="5" s="1"/>
  <c r="M288" i="5"/>
  <c r="N288" i="5" s="1"/>
  <c r="O288" i="5" s="1"/>
  <c r="T288" i="5" s="1"/>
  <c r="U288" i="5" s="1"/>
  <c r="V288" i="5" s="1"/>
  <c r="X288" i="5" s="1"/>
  <c r="X211" i="5"/>
  <c r="X232" i="5"/>
  <c r="W386" i="5" a="1"/>
  <c r="W386" i="5" s="1"/>
  <c r="X386" i="5" s="1"/>
  <c r="M148" i="5"/>
  <c r="N148" i="5" s="1"/>
  <c r="O148" i="5" s="1"/>
  <c r="T148" i="5" s="1"/>
  <c r="U148" i="5" s="1"/>
  <c r="M400" i="5"/>
  <c r="N400" i="5" s="1"/>
  <c r="O400" i="5" s="1"/>
  <c r="T400" i="5" s="1"/>
  <c r="U400" i="5" s="1"/>
  <c r="V400" i="5" s="1"/>
  <c r="W400" i="5" a="1"/>
  <c r="W400" i="5" s="1"/>
  <c r="W330" i="5" a="1"/>
  <c r="W330" i="5" s="1"/>
  <c r="M330" i="5"/>
  <c r="N330" i="5" s="1"/>
  <c r="O330" i="5" s="1"/>
  <c r="T330" i="5" s="1"/>
  <c r="U330" i="5" s="1"/>
  <c r="V330" i="5" s="1"/>
  <c r="M168" i="5"/>
  <c r="N168" i="5" s="1"/>
  <c r="O168" i="5" s="1"/>
  <c r="T168" i="5" s="1"/>
  <c r="U168" i="5" s="1"/>
  <c r="V168" i="5" s="1"/>
  <c r="X168" i="5" s="1"/>
  <c r="W78" i="5" a="1"/>
  <c r="W78" i="5" s="1"/>
  <c r="M393" i="5"/>
  <c r="N393" i="5" s="1"/>
  <c r="O393" i="5" s="1"/>
  <c r="T393" i="5" s="1"/>
  <c r="U393" i="5" s="1"/>
  <c r="W393" i="5" a="1"/>
  <c r="W393" i="5" s="1"/>
  <c r="M274" i="5"/>
  <c r="N274" i="5" s="1"/>
  <c r="O274" i="5" s="1"/>
  <c r="T274" i="5" s="1"/>
  <c r="U274" i="5" s="1"/>
  <c r="V274" i="5" s="1"/>
  <c r="W71" i="5" a="1"/>
  <c r="W71" i="5" s="1"/>
  <c r="X175" i="5"/>
  <c r="M281" i="5"/>
  <c r="N281" i="5" s="1"/>
  <c r="O281" i="5" s="1"/>
  <c r="T281" i="5" s="1"/>
  <c r="U281" i="5" s="1"/>
  <c r="V281" i="5" s="1"/>
  <c r="W252" i="5" a="1"/>
  <c r="W252" i="5" s="1"/>
  <c r="V197" i="5"/>
  <c r="X197" i="5" s="1"/>
  <c r="V155" i="5"/>
  <c r="X155" i="5" s="1"/>
  <c r="V393" i="5"/>
  <c r="X393" i="5" s="1"/>
  <c r="V337" i="5"/>
  <c r="X337" i="5" s="1"/>
  <c r="V148" i="5"/>
  <c r="X148" i="5" s="1"/>
  <c r="H19" i="4"/>
  <c r="I19" i="4" s="1"/>
  <c r="W140" i="5" l="1" a="1"/>
  <c r="W140" i="5" s="1"/>
  <c r="W113" i="5" a="1"/>
  <c r="W113" i="5" s="1"/>
  <c r="M113" i="5"/>
  <c r="N113" i="5" s="1"/>
  <c r="O113" i="5" s="1"/>
  <c r="T113" i="5" s="1"/>
  <c r="U113" i="5" s="1"/>
  <c r="V113" i="5" s="1"/>
  <c r="W358" i="5" a="1"/>
  <c r="W358" i="5" s="1"/>
  <c r="M358" i="5"/>
  <c r="N358" i="5" s="1"/>
  <c r="O358" i="5" s="1"/>
  <c r="T358" i="5" s="1"/>
  <c r="U358" i="5" s="1"/>
  <c r="V358" i="5" s="1"/>
  <c r="M78" i="5"/>
  <c r="N78" i="5" s="1"/>
  <c r="O78" i="5" s="1"/>
  <c r="T78" i="5" s="1"/>
  <c r="U78" i="5" s="1"/>
  <c r="V78" i="5" s="1"/>
  <c r="X78" i="5" s="1"/>
  <c r="M134" i="5"/>
  <c r="N134" i="5" s="1"/>
  <c r="O134" i="5" s="1"/>
  <c r="T134" i="5" s="1"/>
  <c r="U134" i="5" s="1"/>
  <c r="V134" i="5" s="1"/>
  <c r="W134" i="5" a="1"/>
  <c r="W134" i="5" s="1"/>
  <c r="W281" i="5" a="1"/>
  <c r="W281" i="5" s="1"/>
  <c r="X281" i="5" s="1"/>
  <c r="W387" i="5" a="1"/>
  <c r="W387" i="5" s="1"/>
  <c r="M190" i="5"/>
  <c r="N190" i="5" s="1"/>
  <c r="O190" i="5" s="1"/>
  <c r="T190" i="5" s="1"/>
  <c r="U190" i="5" s="1"/>
  <c r="V190" i="5" s="1"/>
  <c r="W274" i="5" a="1"/>
  <c r="W274" i="5" s="1"/>
  <c r="X274" i="5" s="1"/>
  <c r="X400" i="5"/>
  <c r="X330" i="5"/>
  <c r="M71" i="5"/>
  <c r="N71" i="5" s="1"/>
  <c r="O71" i="5" s="1"/>
  <c r="T71" i="5" s="1"/>
  <c r="U71" i="5" s="1"/>
  <c r="V71" i="5" s="1"/>
  <c r="X71" i="5" s="1"/>
  <c r="M246" i="5"/>
  <c r="N246" i="5" s="1"/>
  <c r="O246" i="5" s="1"/>
  <c r="T246" i="5" s="1"/>
  <c r="U246" i="5" s="1"/>
  <c r="V246" i="5" s="1"/>
  <c r="M252" i="5"/>
  <c r="N252" i="5" s="1"/>
  <c r="O252" i="5" s="1"/>
  <c r="T252" i="5" s="1"/>
  <c r="U252" i="5" s="1"/>
  <c r="V252" i="5" s="1"/>
  <c r="X252" i="5" s="1"/>
  <c r="M408" i="5"/>
  <c r="N408" i="5" s="1"/>
  <c r="O408" i="5" s="1"/>
  <c r="T408" i="5" s="1"/>
  <c r="U408" i="5" s="1"/>
  <c r="V408" i="5" s="1"/>
  <c r="W408" i="5" a="1"/>
  <c r="W408" i="5" s="1"/>
  <c r="X408" i="5" s="1"/>
  <c r="W93" i="5" a="1"/>
  <c r="W93" i="5" s="1"/>
  <c r="M93" i="5"/>
  <c r="N93" i="5" s="1"/>
  <c r="O93" i="5" s="1"/>
  <c r="T93" i="5" s="1"/>
  <c r="U93" i="5" s="1"/>
  <c r="V93" i="5" s="1"/>
  <c r="H20" i="4"/>
  <c r="I20" i="4" s="1"/>
  <c r="M140" i="5" l="1"/>
  <c r="N140" i="5" s="1"/>
  <c r="O140" i="5" s="1"/>
  <c r="T140" i="5" s="1"/>
  <c r="U140" i="5" s="1"/>
  <c r="V140" i="5" s="1"/>
  <c r="X140" i="5" s="1"/>
  <c r="M387" i="5"/>
  <c r="N387" i="5" s="1"/>
  <c r="O387" i="5" s="1"/>
  <c r="T387" i="5" s="1"/>
  <c r="U387" i="5" s="1"/>
  <c r="V387" i="5" s="1"/>
  <c r="X387" i="5" s="1"/>
  <c r="X113" i="5"/>
  <c r="X358" i="5"/>
  <c r="X134" i="5"/>
  <c r="W190" i="5" a="1"/>
  <c r="W190" i="5" s="1"/>
  <c r="X190" i="5" s="1"/>
  <c r="M127" i="5"/>
  <c r="N127" i="5" s="1"/>
  <c r="O127" i="5" s="1"/>
  <c r="T127" i="5" s="1"/>
  <c r="U127" i="5" s="1"/>
  <c r="V127" i="5" s="1"/>
  <c r="W127" i="5" a="1"/>
  <c r="W127" i="5" s="1"/>
  <c r="X127" i="5" s="1"/>
  <c r="W379" i="5" a="1"/>
  <c r="W379" i="5" s="1"/>
  <c r="M379" i="5"/>
  <c r="N379" i="5" s="1"/>
  <c r="O379" i="5" s="1"/>
  <c r="T379" i="5" s="1"/>
  <c r="U379" i="5" s="1"/>
  <c r="V379" i="5" s="1"/>
  <c r="M99" i="5"/>
  <c r="N99" i="5" s="1"/>
  <c r="O99" i="5" s="1"/>
  <c r="T99" i="5" s="1"/>
  <c r="U99" i="5" s="1"/>
  <c r="V99" i="5" s="1"/>
  <c r="W99" i="5" a="1"/>
  <c r="W99" i="5" s="1"/>
  <c r="M295" i="5"/>
  <c r="N295" i="5" s="1"/>
  <c r="O295" i="5" s="1"/>
  <c r="T295" i="5" s="1"/>
  <c r="U295" i="5" s="1"/>
  <c r="V295" i="5" s="1"/>
  <c r="X295" i="5" s="1"/>
  <c r="W295" i="5" a="1"/>
  <c r="W295" i="5" s="1"/>
  <c r="W239" i="5" a="1"/>
  <c r="W239" i="5" s="1"/>
  <c r="M239" i="5"/>
  <c r="N239" i="5" s="1"/>
  <c r="O239" i="5" s="1"/>
  <c r="T239" i="5" s="1"/>
  <c r="U239" i="5" s="1"/>
  <c r="V239" i="5" s="1"/>
  <c r="W246" i="5" a="1"/>
  <c r="W246" i="5" s="1"/>
  <c r="X246" i="5" s="1"/>
  <c r="W212" i="5" a="1"/>
  <c r="W212" i="5" s="1"/>
  <c r="W352" i="5" a="1"/>
  <c r="W352" i="5" s="1"/>
  <c r="W218" i="5" a="1"/>
  <c r="W218" i="5" s="1"/>
  <c r="M218" i="5"/>
  <c r="N218" i="5" s="1"/>
  <c r="O218" i="5" s="1"/>
  <c r="T218" i="5" s="1"/>
  <c r="U218" i="5" s="1"/>
  <c r="V218" i="5" s="1"/>
  <c r="W289" i="5" a="1"/>
  <c r="W289" i="5" s="1"/>
  <c r="M289" i="5"/>
  <c r="N289" i="5" s="1"/>
  <c r="O289" i="5" s="1"/>
  <c r="T289" i="5" s="1"/>
  <c r="U289" i="5" s="1"/>
  <c r="V289" i="5" s="1"/>
  <c r="X289" i="5" s="1"/>
  <c r="W161" i="5" a="1"/>
  <c r="W161" i="5" s="1"/>
  <c r="W261" i="5" a="1"/>
  <c r="W261" i="5" s="1"/>
  <c r="M261" i="5"/>
  <c r="N261" i="5" s="1"/>
  <c r="O261" i="5" s="1"/>
  <c r="T261" i="5" s="1"/>
  <c r="U261" i="5" s="1"/>
  <c r="V261" i="5" s="1"/>
  <c r="X261" i="5" s="1"/>
  <c r="M317" i="5"/>
  <c r="N317" i="5" s="1"/>
  <c r="O317" i="5" s="1"/>
  <c r="T317" i="5" s="1"/>
  <c r="U317" i="5" s="1"/>
  <c r="V317" i="5" s="1"/>
  <c r="W317" i="5" a="1"/>
  <c r="W317" i="5" s="1"/>
  <c r="M161" i="5"/>
  <c r="N161" i="5" s="1"/>
  <c r="O161" i="5" s="1"/>
  <c r="T161" i="5" s="1"/>
  <c r="U161" i="5" s="1"/>
  <c r="V161" i="5" s="1"/>
  <c r="X93" i="5"/>
  <c r="M352" i="5"/>
  <c r="N352" i="5" s="1"/>
  <c r="O352" i="5" s="1"/>
  <c r="T352" i="5" s="1"/>
  <c r="U352" i="5" s="1"/>
  <c r="V352" i="5" s="1"/>
  <c r="M296" i="5"/>
  <c r="N296" i="5" s="1"/>
  <c r="O296" i="5" s="1"/>
  <c r="T296" i="5" s="1"/>
  <c r="U296" i="5" s="1"/>
  <c r="V296" i="5" s="1"/>
  <c r="W135" i="5" a="1"/>
  <c r="W135" i="5" s="1"/>
  <c r="M253" i="5"/>
  <c r="N253" i="5" s="1"/>
  <c r="O253" i="5" s="1"/>
  <c r="T253" i="5" s="1"/>
  <c r="U253" i="5" s="1"/>
  <c r="V253" i="5" s="1"/>
  <c r="W253" i="5" a="1"/>
  <c r="W253" i="5" s="1"/>
  <c r="H21" i="4"/>
  <c r="I21" i="4" s="1"/>
  <c r="X239" i="5" l="1"/>
  <c r="X161" i="5"/>
  <c r="X352" i="5"/>
  <c r="M212" i="5"/>
  <c r="N212" i="5" s="1"/>
  <c r="O212" i="5" s="1"/>
  <c r="T212" i="5" s="1"/>
  <c r="U212" i="5" s="1"/>
  <c r="V212" i="5" s="1"/>
  <c r="X212" i="5" s="1"/>
  <c r="X379" i="5"/>
  <c r="X99" i="5"/>
  <c r="M191" i="5"/>
  <c r="N191" i="5" s="1"/>
  <c r="O191" i="5" s="1"/>
  <c r="T191" i="5" s="1"/>
  <c r="U191" i="5" s="1"/>
  <c r="V191" i="5" s="1"/>
  <c r="W191" i="5" a="1"/>
  <c r="W191" i="5" s="1"/>
  <c r="W268" i="5" a="1"/>
  <c r="W268" i="5" s="1"/>
  <c r="M268" i="5"/>
  <c r="N268" i="5" s="1"/>
  <c r="O268" i="5" s="1"/>
  <c r="T268" i="5" s="1"/>
  <c r="U268" i="5" s="1"/>
  <c r="V268" i="5" s="1"/>
  <c r="X268" i="5" s="1"/>
  <c r="W184" i="5" a="1"/>
  <c r="W184" i="5" s="1"/>
  <c r="M184" i="5"/>
  <c r="N184" i="5" s="1"/>
  <c r="O184" i="5" s="1"/>
  <c r="T184" i="5" s="1"/>
  <c r="U184" i="5" s="1"/>
  <c r="V184" i="5" s="1"/>
  <c r="X184" i="5" s="1"/>
  <c r="M380" i="5"/>
  <c r="N380" i="5" s="1"/>
  <c r="O380" i="5" s="1"/>
  <c r="T380" i="5" s="1"/>
  <c r="U380" i="5" s="1"/>
  <c r="W373" i="5" a="1"/>
  <c r="W373" i="5" s="1"/>
  <c r="M373" i="5"/>
  <c r="N373" i="5" s="1"/>
  <c r="O373" i="5" s="1"/>
  <c r="T373" i="5" s="1"/>
  <c r="U373" i="5" s="1"/>
  <c r="V373" i="5" s="1"/>
  <c r="X373" i="5" s="1"/>
  <c r="M366" i="5"/>
  <c r="N366" i="5" s="1"/>
  <c r="O366" i="5" s="1"/>
  <c r="T366" i="5" s="1"/>
  <c r="U366" i="5" s="1"/>
  <c r="V366" i="5" s="1"/>
  <c r="W366" i="5" a="1"/>
  <c r="W366" i="5" s="1"/>
  <c r="W225" i="5" a="1"/>
  <c r="W225" i="5" s="1"/>
  <c r="X218" i="5"/>
  <c r="X317" i="5"/>
  <c r="W324" i="5" a="1"/>
  <c r="W324" i="5" s="1"/>
  <c r="W72" i="5" a="1"/>
  <c r="W72" i="5" s="1"/>
  <c r="M72" i="5"/>
  <c r="N72" i="5" s="1"/>
  <c r="O72" i="5" s="1"/>
  <c r="T72" i="5" s="1"/>
  <c r="U72" i="5" s="1"/>
  <c r="V72" i="5" s="1"/>
  <c r="W296" i="5" a="1"/>
  <c r="W296" i="5" s="1"/>
  <c r="X296" i="5" s="1"/>
  <c r="M85" i="5"/>
  <c r="N85" i="5" s="1"/>
  <c r="O85" i="5" s="1"/>
  <c r="T85" i="5" s="1"/>
  <c r="U85" i="5" s="1"/>
  <c r="V85" i="5" s="1"/>
  <c r="W85" i="5" a="1"/>
  <c r="W85" i="5" s="1"/>
  <c r="M135" i="5"/>
  <c r="N135" i="5" s="1"/>
  <c r="O135" i="5" s="1"/>
  <c r="T135" i="5" s="1"/>
  <c r="U135" i="5" s="1"/>
  <c r="V135" i="5" s="1"/>
  <c r="X135" i="5" s="1"/>
  <c r="X253" i="5"/>
  <c r="W331" i="5" a="1"/>
  <c r="W331" i="5" s="1"/>
  <c r="M345" i="5"/>
  <c r="N345" i="5" s="1"/>
  <c r="O345" i="5" s="1"/>
  <c r="T345" i="5" s="1"/>
  <c r="U345" i="5" s="1"/>
  <c r="V345" i="5" s="1"/>
  <c r="W247" i="5" a="1"/>
  <c r="W247" i="5" s="1"/>
  <c r="V380" i="5"/>
  <c r="H22" i="4"/>
  <c r="I22" i="4" s="1"/>
  <c r="X366" i="5" l="1"/>
  <c r="W380" i="5" a="1"/>
  <c r="W380" i="5" s="1"/>
  <c r="X380" i="5" s="1"/>
  <c r="X191" i="5"/>
  <c r="M141" i="5"/>
  <c r="N141" i="5" s="1"/>
  <c r="O141" i="5" s="1"/>
  <c r="T141" i="5" s="1"/>
  <c r="U141" i="5" s="1"/>
  <c r="V141" i="5" s="1"/>
  <c r="W141" i="5" a="1"/>
  <c r="W141" i="5" s="1"/>
  <c r="M324" i="5"/>
  <c r="N324" i="5" s="1"/>
  <c r="O324" i="5" s="1"/>
  <c r="T324" i="5" s="1"/>
  <c r="U324" i="5" s="1"/>
  <c r="V324" i="5" s="1"/>
  <c r="X324" i="5" s="1"/>
  <c r="M120" i="5"/>
  <c r="N120" i="5" s="1"/>
  <c r="O120" i="5" s="1"/>
  <c r="T120" i="5" s="1"/>
  <c r="U120" i="5" s="1"/>
  <c r="V120" i="5" s="1"/>
  <c r="M114" i="5"/>
  <c r="N114" i="5" s="1"/>
  <c r="O114" i="5" s="1"/>
  <c r="T114" i="5" s="1"/>
  <c r="U114" i="5" s="1"/>
  <c r="V114" i="5" s="1"/>
  <c r="W114" i="5" a="1"/>
  <c r="W114" i="5" s="1"/>
  <c r="X114" i="5" s="1"/>
  <c r="M225" i="5"/>
  <c r="N225" i="5" s="1"/>
  <c r="O225" i="5" s="1"/>
  <c r="T225" i="5" s="1"/>
  <c r="U225" i="5" s="1"/>
  <c r="V225" i="5" s="1"/>
  <c r="X225" i="5" s="1"/>
  <c r="W120" i="5" a="1"/>
  <c r="W120" i="5" s="1"/>
  <c r="X72" i="5"/>
  <c r="M303" i="5"/>
  <c r="N303" i="5" s="1"/>
  <c r="O303" i="5" s="1"/>
  <c r="T303" i="5" s="1"/>
  <c r="U303" i="5" s="1"/>
  <c r="V303" i="5" s="1"/>
  <c r="W205" i="5" a="1"/>
  <c r="W205" i="5" s="1"/>
  <c r="M205" i="5"/>
  <c r="N205" i="5" s="1"/>
  <c r="O205" i="5" s="1"/>
  <c r="T205" i="5" s="1"/>
  <c r="U205" i="5" s="1"/>
  <c r="V205" i="5" s="1"/>
  <c r="M282" i="5"/>
  <c r="N282" i="5" s="1"/>
  <c r="O282" i="5" s="1"/>
  <c r="T282" i="5" s="1"/>
  <c r="U282" i="5" s="1"/>
  <c r="V282" i="5" s="1"/>
  <c r="X85" i="5"/>
  <c r="W128" i="5" a="1"/>
  <c r="W128" i="5" s="1"/>
  <c r="M128" i="5"/>
  <c r="N128" i="5" s="1"/>
  <c r="O128" i="5" s="1"/>
  <c r="T128" i="5" s="1"/>
  <c r="U128" i="5" s="1"/>
  <c r="V128" i="5" s="1"/>
  <c r="M331" i="5"/>
  <c r="N331" i="5" s="1"/>
  <c r="O331" i="5" s="1"/>
  <c r="T331" i="5" s="1"/>
  <c r="U331" i="5" s="1"/>
  <c r="V331" i="5" s="1"/>
  <c r="X331" i="5" s="1"/>
  <c r="X345" i="5"/>
  <c r="M247" i="5"/>
  <c r="N247" i="5" s="1"/>
  <c r="O247" i="5" s="1"/>
  <c r="T247" i="5" s="1"/>
  <c r="U247" i="5" s="1"/>
  <c r="V247" i="5" s="1"/>
  <c r="X247" i="5" s="1"/>
  <c r="H23" i="4"/>
  <c r="I23" i="4" s="1"/>
  <c r="X205" i="5" l="1"/>
  <c r="X141" i="5"/>
  <c r="X120" i="5"/>
  <c r="W100" i="5" a="1"/>
  <c r="W100" i="5" s="1"/>
  <c r="M100" i="5"/>
  <c r="N100" i="5" s="1"/>
  <c r="O100" i="5" s="1"/>
  <c r="T100" i="5" s="1"/>
  <c r="U100" i="5" s="1"/>
  <c r="V100" i="5" s="1"/>
  <c r="W303" i="5" a="1"/>
  <c r="W303" i="5" s="1"/>
  <c r="X303" i="5" s="1"/>
  <c r="W169" i="5" a="1"/>
  <c r="W169" i="5" s="1"/>
  <c r="W282" i="5" a="1"/>
  <c r="W282" i="5" s="1"/>
  <c r="X282" i="5" s="1"/>
  <c r="M176" i="5"/>
  <c r="N176" i="5" s="1"/>
  <c r="O176" i="5" s="1"/>
  <c r="T176" i="5" s="1"/>
  <c r="U176" i="5" s="1"/>
  <c r="V176" i="5" s="1"/>
  <c r="W176" i="5" a="1"/>
  <c r="W176" i="5" s="1"/>
  <c r="W401" i="5" a="1"/>
  <c r="W401" i="5" s="1"/>
  <c r="W374" i="5" a="1"/>
  <c r="W374" i="5" s="1"/>
  <c r="X128" i="5"/>
  <c r="M79" i="5"/>
  <c r="N79" i="5" s="1"/>
  <c r="O79" i="5" s="1"/>
  <c r="T79" i="5" s="1"/>
  <c r="U79" i="5" s="1"/>
  <c r="V79" i="5" s="1"/>
  <c r="W79" i="5" a="1"/>
  <c r="W79" i="5" s="1"/>
  <c r="W359" i="5" a="1"/>
  <c r="W359" i="5" s="1"/>
  <c r="M359" i="5"/>
  <c r="N359" i="5" s="1"/>
  <c r="O359" i="5" s="1"/>
  <c r="T359" i="5" s="1"/>
  <c r="U359" i="5" s="1"/>
  <c r="V359" i="5" s="1"/>
  <c r="W275" i="5" a="1"/>
  <c r="W275" i="5" s="1"/>
  <c r="M275" i="5"/>
  <c r="N275" i="5" s="1"/>
  <c r="O275" i="5" s="1"/>
  <c r="T275" i="5" s="1"/>
  <c r="U275" i="5" s="1"/>
  <c r="V275" i="5" s="1"/>
  <c r="H24" i="4"/>
  <c r="I24" i="4" s="1"/>
  <c r="X176" i="5" l="1"/>
  <c r="M169" i="5"/>
  <c r="N169" i="5" s="1"/>
  <c r="O169" i="5" s="1"/>
  <c r="T169" i="5" s="1"/>
  <c r="U169" i="5" s="1"/>
  <c r="V169" i="5" s="1"/>
  <c r="X169" i="5" s="1"/>
  <c r="X100" i="5"/>
  <c r="W233" i="5" a="1"/>
  <c r="W233" i="5" s="1"/>
  <c r="M233" i="5"/>
  <c r="N233" i="5" s="1"/>
  <c r="O233" i="5" s="1"/>
  <c r="T233" i="5" s="1"/>
  <c r="U233" i="5" s="1"/>
  <c r="V233" i="5" s="1"/>
  <c r="M401" i="5"/>
  <c r="N401" i="5" s="1"/>
  <c r="O401" i="5" s="1"/>
  <c r="T401" i="5" s="1"/>
  <c r="U401" i="5" s="1"/>
  <c r="V401" i="5" s="1"/>
  <c r="X401" i="5" s="1"/>
  <c r="M107" i="5"/>
  <c r="N107" i="5" s="1"/>
  <c r="O107" i="5" s="1"/>
  <c r="T107" i="5" s="1"/>
  <c r="U107" i="5" s="1"/>
  <c r="V107" i="5" s="1"/>
  <c r="W310" i="5" a="1"/>
  <c r="W310" i="5" s="1"/>
  <c r="F48" i="5"/>
  <c r="M374" i="5"/>
  <c r="N374" i="5" s="1"/>
  <c r="O374" i="5" s="1"/>
  <c r="T374" i="5" s="1"/>
  <c r="U374" i="5" s="1"/>
  <c r="F32" i="5"/>
  <c r="M262" i="5"/>
  <c r="N262" i="5" s="1"/>
  <c r="O262" i="5" s="1"/>
  <c r="T262" i="5" s="1"/>
  <c r="U262" i="5" s="1"/>
  <c r="W262" i="5" a="1"/>
  <c r="W262" i="5" s="1"/>
  <c r="X79" i="5"/>
  <c r="X359" i="5"/>
  <c r="X275" i="5"/>
  <c r="W198" i="5" a="1"/>
  <c r="W198" i="5" s="1"/>
  <c r="M198" i="5"/>
  <c r="N198" i="5" s="1"/>
  <c r="O198" i="5" s="1"/>
  <c r="T198" i="5" s="1"/>
  <c r="U198" i="5" s="1"/>
  <c r="V198" i="5" s="1"/>
  <c r="X198" i="5" s="1"/>
  <c r="M86" i="5"/>
  <c r="N86" i="5" s="1"/>
  <c r="O86" i="5" s="1"/>
  <c r="T86" i="5" s="1"/>
  <c r="U86" i="5" s="1"/>
  <c r="V86" i="5" s="1"/>
  <c r="W86" i="5" a="1"/>
  <c r="W86" i="5" s="1"/>
  <c r="X86" i="5" s="1"/>
  <c r="F53" i="5"/>
  <c r="W409" i="5" a="1"/>
  <c r="W409" i="5" s="1"/>
  <c r="M409" i="5"/>
  <c r="N409" i="5" s="1"/>
  <c r="O409" i="5" s="1"/>
  <c r="T409" i="5" s="1"/>
  <c r="U409" i="5" s="1"/>
  <c r="F52" i="5"/>
  <c r="M402" i="5"/>
  <c r="W402" i="5" a="1"/>
  <c r="W402" i="5" s="1"/>
  <c r="M177" i="5"/>
  <c r="N177" i="5" s="1"/>
  <c r="O177" i="5" s="1"/>
  <c r="T177" i="5" s="1"/>
  <c r="U177" i="5" s="1"/>
  <c r="V177" i="5" s="1"/>
  <c r="W177" i="5" a="1"/>
  <c r="W177" i="5" s="1"/>
  <c r="W332" i="5" a="1"/>
  <c r="W332" i="5" s="1"/>
  <c r="H25" i="4"/>
  <c r="I25" i="4" s="1"/>
  <c r="X177" i="5" l="1"/>
  <c r="M142" i="5"/>
  <c r="N142" i="5" s="1"/>
  <c r="O142" i="5" s="1"/>
  <c r="T142" i="5" s="1"/>
  <c r="U142" i="5" s="1"/>
  <c r="V142" i="5" s="1"/>
  <c r="W107" i="5" a="1"/>
  <c r="W107" i="5" s="1"/>
  <c r="X107" i="5" s="1"/>
  <c r="M310" i="5"/>
  <c r="N310" i="5" s="1"/>
  <c r="O310" i="5" s="1"/>
  <c r="T310" i="5" s="1"/>
  <c r="U310" i="5" s="1"/>
  <c r="V310" i="5" s="1"/>
  <c r="X310" i="5" s="1"/>
  <c r="U263" i="5"/>
  <c r="V262" i="5"/>
  <c r="X262" i="5" s="1"/>
  <c r="X233" i="5"/>
  <c r="N402" i="5"/>
  <c r="O402" i="5" s="1"/>
  <c r="T402" i="5" s="1"/>
  <c r="U402" i="5" s="1"/>
  <c r="V374" i="5"/>
  <c r="X374" i="5" s="1"/>
  <c r="U375" i="5"/>
  <c r="M156" i="5"/>
  <c r="N156" i="5" s="1"/>
  <c r="O156" i="5" s="1"/>
  <c r="T156" i="5" s="1"/>
  <c r="U156" i="5" s="1"/>
  <c r="V156" i="5" s="1"/>
  <c r="W156" i="5" a="1"/>
  <c r="W156" i="5" s="1"/>
  <c r="M394" i="5"/>
  <c r="N394" i="5" s="1"/>
  <c r="O394" i="5" s="1"/>
  <c r="T394" i="5" s="1"/>
  <c r="U394" i="5" s="1"/>
  <c r="V394" i="5" s="1"/>
  <c r="W394" i="5" a="1"/>
  <c r="W394" i="5" s="1"/>
  <c r="X394" i="5" s="1"/>
  <c r="M226" i="5"/>
  <c r="N226" i="5" s="1"/>
  <c r="O226" i="5" s="1"/>
  <c r="T226" i="5" s="1"/>
  <c r="U226" i="5" s="1"/>
  <c r="V226" i="5" s="1"/>
  <c r="W226" i="5" a="1"/>
  <c r="W226" i="5" s="1"/>
  <c r="M240" i="5"/>
  <c r="N240" i="5" s="1"/>
  <c r="O240" i="5" s="1"/>
  <c r="T240" i="5" s="1"/>
  <c r="U240" i="5" s="1"/>
  <c r="V240" i="5" s="1"/>
  <c r="W240" i="5" a="1"/>
  <c r="W240" i="5" s="1"/>
  <c r="W290" i="5" a="1"/>
  <c r="W290" i="5" s="1"/>
  <c r="M290" i="5"/>
  <c r="N290" i="5" s="1"/>
  <c r="O290" i="5" s="1"/>
  <c r="T290" i="5" s="1"/>
  <c r="U290" i="5" s="1"/>
  <c r="F36" i="5"/>
  <c r="W338" i="5" a="1"/>
  <c r="W338" i="5" s="1"/>
  <c r="M338" i="5"/>
  <c r="N338" i="5" s="1"/>
  <c r="O338" i="5" s="1"/>
  <c r="T338" i="5" s="1"/>
  <c r="U338" i="5" s="1"/>
  <c r="V338" i="5" s="1"/>
  <c r="F42" i="5"/>
  <c r="M332" i="5"/>
  <c r="N332" i="5" s="1"/>
  <c r="O332" i="5" s="1"/>
  <c r="T332" i="5" s="1"/>
  <c r="U332" i="5" s="1"/>
  <c r="X240" i="5"/>
  <c r="M388" i="5"/>
  <c r="N388" i="5" s="1"/>
  <c r="O388" i="5" s="1"/>
  <c r="T388" i="5" s="1"/>
  <c r="U388" i="5" s="1"/>
  <c r="W388" i="5" a="1"/>
  <c r="W388" i="5" s="1"/>
  <c r="F50" i="5"/>
  <c r="M101" i="5"/>
  <c r="N101" i="5" s="1"/>
  <c r="O101" i="5" s="1"/>
  <c r="T101" i="5" s="1"/>
  <c r="U101" i="5" s="1"/>
  <c r="W241" i="5" a="1"/>
  <c r="W241" i="5" s="1"/>
  <c r="F29" i="5"/>
  <c r="M241" i="5"/>
  <c r="N241" i="5" s="1"/>
  <c r="O241" i="5" s="1"/>
  <c r="T241" i="5" s="1"/>
  <c r="U241" i="5" s="1"/>
  <c r="W185" i="5" a="1"/>
  <c r="W185" i="5" s="1"/>
  <c r="F21" i="5"/>
  <c r="M185" i="5"/>
  <c r="N185" i="5" s="1"/>
  <c r="O185" i="5" s="1"/>
  <c r="T185" i="5" s="1"/>
  <c r="U185" i="5" s="1"/>
  <c r="X338" i="5"/>
  <c r="V409" i="5"/>
  <c r="X409" i="5" s="1"/>
  <c r="U410" i="5"/>
  <c r="V375" i="5"/>
  <c r="E48" i="5"/>
  <c r="X375" i="5"/>
  <c r="C48" i="5" s="1"/>
  <c r="B48" i="5" s="1"/>
  <c r="W375" i="5"/>
  <c r="D48" i="5" s="1"/>
  <c r="H26" i="4"/>
  <c r="I26" i="4" s="1"/>
  <c r="W63" i="5" a="1"/>
  <c r="W63" i="5" s="1"/>
  <c r="V402" i="5" l="1"/>
  <c r="X402" i="5" s="1"/>
  <c r="U403" i="5"/>
  <c r="W142" i="5" a="1"/>
  <c r="W142" i="5" s="1"/>
  <c r="X142" i="5" s="1"/>
  <c r="E32" i="5"/>
  <c r="V263" i="5"/>
  <c r="X263" i="5"/>
  <c r="C32" i="5" s="1"/>
  <c r="B32" i="5" s="1"/>
  <c r="W263" i="5"/>
  <c r="D32" i="5" s="1"/>
  <c r="U291" i="5"/>
  <c r="V290" i="5"/>
  <c r="X290" i="5" s="1"/>
  <c r="X156" i="5"/>
  <c r="X226" i="5"/>
  <c r="U333" i="5"/>
  <c r="V332" i="5"/>
  <c r="X332" i="5" s="1"/>
  <c r="M162" i="5"/>
  <c r="N162" i="5" s="1"/>
  <c r="O162" i="5" s="1"/>
  <c r="T162" i="5" s="1"/>
  <c r="U162" i="5" s="1"/>
  <c r="V162" i="5" s="1"/>
  <c r="W162" i="5" a="1"/>
  <c r="W162" i="5" s="1"/>
  <c r="F22" i="5"/>
  <c r="M192" i="5"/>
  <c r="N192" i="5" s="1"/>
  <c r="O192" i="5" s="1"/>
  <c r="T192" i="5" s="1"/>
  <c r="U192" i="5" s="1"/>
  <c r="W192" i="5" a="1"/>
  <c r="W192" i="5" s="1"/>
  <c r="M149" i="5"/>
  <c r="N149" i="5" s="1"/>
  <c r="O149" i="5" s="1"/>
  <c r="T149" i="5" s="1"/>
  <c r="U149" i="5" s="1"/>
  <c r="V149" i="5" s="1"/>
  <c r="W149" i="5" a="1"/>
  <c r="W149" i="5" s="1"/>
  <c r="F9" i="5"/>
  <c r="W101" i="5" a="1"/>
  <c r="W101" i="5" s="1"/>
  <c r="U186" i="5"/>
  <c r="V185" i="5"/>
  <c r="X185" i="5" s="1"/>
  <c r="W269" i="5" a="1"/>
  <c r="W269" i="5" s="1"/>
  <c r="U193" i="5"/>
  <c r="V192" i="5"/>
  <c r="V388" i="5"/>
  <c r="X388" i="5" s="1"/>
  <c r="U389" i="5"/>
  <c r="U102" i="5"/>
  <c r="V101" i="5"/>
  <c r="V241" i="5"/>
  <c r="X241" i="5" s="1"/>
  <c r="U242" i="5"/>
  <c r="W219" i="5" a="1"/>
  <c r="W219" i="5" s="1"/>
  <c r="M219" i="5"/>
  <c r="N219" i="5" s="1"/>
  <c r="O219" i="5" s="1"/>
  <c r="T219" i="5" s="1"/>
  <c r="U219" i="5" s="1"/>
  <c r="V219" i="5" s="1"/>
  <c r="W121" i="5" a="1"/>
  <c r="W121" i="5" s="1"/>
  <c r="F8" i="5"/>
  <c r="W367" i="5" a="1"/>
  <c r="W367" i="5" s="1"/>
  <c r="M367" i="5"/>
  <c r="N367" i="5" s="1"/>
  <c r="O367" i="5" s="1"/>
  <c r="T367" i="5" s="1"/>
  <c r="U367" i="5" s="1"/>
  <c r="F47" i="5"/>
  <c r="F40" i="5"/>
  <c r="W318" i="5" a="1"/>
  <c r="W318" i="5" s="1"/>
  <c r="M318" i="5"/>
  <c r="N318" i="5" s="1"/>
  <c r="O318" i="5" s="1"/>
  <c r="T318" i="5" s="1"/>
  <c r="U318" i="5" s="1"/>
  <c r="W80" i="5" a="1"/>
  <c r="W80" i="5" s="1"/>
  <c r="F6" i="5"/>
  <c r="M80" i="5"/>
  <c r="N80" i="5" s="1"/>
  <c r="O80" i="5" s="1"/>
  <c r="T80" i="5" s="1"/>
  <c r="U80" i="5" s="1"/>
  <c r="X410" i="5"/>
  <c r="C53" i="5" s="1"/>
  <c r="B53" i="5" s="1"/>
  <c r="W410" i="5"/>
  <c r="D53" i="5" s="1"/>
  <c r="V410" i="5"/>
  <c r="E53" i="5"/>
  <c r="M213" i="5"/>
  <c r="N213" i="5" s="1"/>
  <c r="O213" i="5" s="1"/>
  <c r="T213" i="5" s="1"/>
  <c r="U213" i="5" s="1"/>
  <c r="F25" i="5"/>
  <c r="W213" i="5" a="1"/>
  <c r="W213" i="5" s="1"/>
  <c r="F17" i="5"/>
  <c r="M157" i="5"/>
  <c r="N157" i="5" s="1"/>
  <c r="O157" i="5" s="1"/>
  <c r="T157" i="5" s="1"/>
  <c r="U157" i="5" s="1"/>
  <c r="W157" i="5" a="1"/>
  <c r="W157" i="5" s="1"/>
  <c r="M63" i="5"/>
  <c r="N63" i="5" s="1"/>
  <c r="O63" i="5" s="1"/>
  <c r="T63" i="5" s="1"/>
  <c r="U63" i="5" s="1"/>
  <c r="E5" i="3"/>
  <c r="F5" i="3" s="1"/>
  <c r="G5" i="3" s="1"/>
  <c r="L5" i="3" s="1"/>
  <c r="M5" i="3" s="1"/>
  <c r="H27" i="4"/>
  <c r="I27" i="4" s="1"/>
  <c r="X403" i="5" l="1"/>
  <c r="C52" i="5" s="1"/>
  <c r="B52" i="5" s="1"/>
  <c r="W403" i="5"/>
  <c r="D52" i="5" s="1"/>
  <c r="E52" i="5"/>
  <c r="V403" i="5"/>
  <c r="X101" i="5"/>
  <c r="W102" i="5" s="1"/>
  <c r="D9" i="5" s="1"/>
  <c r="V186" i="5"/>
  <c r="E21" i="5"/>
  <c r="W186" i="5"/>
  <c r="D21" i="5" s="1"/>
  <c r="X186" i="5"/>
  <c r="C21" i="5" s="1"/>
  <c r="B21" i="5" s="1"/>
  <c r="E36" i="5"/>
  <c r="V291" i="5"/>
  <c r="X291" i="5"/>
  <c r="C36" i="5" s="1"/>
  <c r="B36" i="5" s="1"/>
  <c r="W291" i="5"/>
  <c r="D36" i="5" s="1"/>
  <c r="F33" i="5"/>
  <c r="M269" i="5"/>
  <c r="N269" i="5" s="1"/>
  <c r="O269" i="5" s="1"/>
  <c r="T269" i="5" s="1"/>
  <c r="U269" i="5" s="1"/>
  <c r="X162" i="5"/>
  <c r="X149" i="5"/>
  <c r="X192" i="5"/>
  <c r="X219" i="5"/>
  <c r="F38" i="5"/>
  <c r="W304" i="5" a="1"/>
  <c r="W304" i="5" s="1"/>
  <c r="M311" i="5"/>
  <c r="N311" i="5" s="1"/>
  <c r="O311" i="5" s="1"/>
  <c r="T311" i="5" s="1"/>
  <c r="U311" i="5" s="1"/>
  <c r="F39" i="5"/>
  <c r="W311" i="5" a="1"/>
  <c r="W311" i="5" s="1"/>
  <c r="E42" i="5"/>
  <c r="V333" i="5"/>
  <c r="X333" i="5"/>
  <c r="C42" i="5" s="1"/>
  <c r="B42" i="5" s="1"/>
  <c r="W333" i="5"/>
  <c r="D42" i="5" s="1"/>
  <c r="W115" i="5" a="1"/>
  <c r="W115" i="5" s="1"/>
  <c r="F11" i="5"/>
  <c r="M115" i="5"/>
  <c r="N115" i="5" s="1"/>
  <c r="O115" i="5" s="1"/>
  <c r="T115" i="5" s="1"/>
  <c r="U115" i="5" s="1"/>
  <c r="M121" i="5"/>
  <c r="N121" i="5" s="1"/>
  <c r="O121" i="5" s="1"/>
  <c r="T121" i="5" s="1"/>
  <c r="U121" i="5" s="1"/>
  <c r="V121" i="5" s="1"/>
  <c r="X121" i="5" s="1"/>
  <c r="W94" i="5" a="1"/>
  <c r="W94" i="5" s="1"/>
  <c r="M94" i="5"/>
  <c r="N94" i="5" s="1"/>
  <c r="O94" i="5" s="1"/>
  <c r="T94" i="5" s="1"/>
  <c r="U94" i="5" s="1"/>
  <c r="V318" i="5"/>
  <c r="X318" i="5" s="1"/>
  <c r="X319" i="5" s="1"/>
  <c r="C40" i="5" s="1"/>
  <c r="B40" i="5" s="1"/>
  <c r="U319" i="5"/>
  <c r="W325" i="5" a="1"/>
  <c r="W325" i="5" s="1"/>
  <c r="F41" i="5"/>
  <c r="M325" i="5"/>
  <c r="N325" i="5" s="1"/>
  <c r="O325" i="5" s="1"/>
  <c r="T325" i="5" s="1"/>
  <c r="U325" i="5" s="1"/>
  <c r="W206" i="5" a="1"/>
  <c r="W206" i="5" s="1"/>
  <c r="M206" i="5"/>
  <c r="N206" i="5" s="1"/>
  <c r="O206" i="5" s="1"/>
  <c r="T206" i="5" s="1"/>
  <c r="U206" i="5" s="1"/>
  <c r="F24" i="5"/>
  <c r="E22" i="5"/>
  <c r="V193" i="5"/>
  <c r="W389" i="5"/>
  <c r="D50" i="5" s="1"/>
  <c r="X389" i="5"/>
  <c r="C50" i="5" s="1"/>
  <c r="B50" i="5" s="1"/>
  <c r="E50" i="5"/>
  <c r="V389" i="5"/>
  <c r="E9" i="5"/>
  <c r="V102" i="5"/>
  <c r="X102" i="5"/>
  <c r="C9" i="5" s="1"/>
  <c r="B9" i="5" s="1"/>
  <c r="U368" i="5"/>
  <c r="V367" i="5"/>
  <c r="X367" i="5" s="1"/>
  <c r="X242" i="5"/>
  <c r="C29" i="5" s="1"/>
  <c r="B29" i="5" s="1"/>
  <c r="W242" i="5"/>
  <c r="D29" i="5" s="1"/>
  <c r="E29" i="5"/>
  <c r="V242" i="5"/>
  <c r="U81" i="5"/>
  <c r="V80" i="5"/>
  <c r="X80" i="5" s="1"/>
  <c r="F49" i="5"/>
  <c r="W381" i="5" a="1"/>
  <c r="W381" i="5" s="1"/>
  <c r="M381" i="5"/>
  <c r="N381" i="5" s="1"/>
  <c r="O381" i="5" s="1"/>
  <c r="T381" i="5" s="1"/>
  <c r="U381" i="5" s="1"/>
  <c r="W319" i="5"/>
  <c r="D40" i="5" s="1"/>
  <c r="V213" i="5"/>
  <c r="X213" i="5" s="1"/>
  <c r="U214" i="5"/>
  <c r="V157" i="5"/>
  <c r="X157" i="5" s="1"/>
  <c r="U158" i="5"/>
  <c r="M73" i="5"/>
  <c r="N73" i="5" s="1"/>
  <c r="O73" i="5" s="1"/>
  <c r="T73" i="5" s="1"/>
  <c r="U73" i="5" s="1"/>
  <c r="F5" i="5"/>
  <c r="W73" i="5" a="1"/>
  <c r="W73" i="5" s="1"/>
  <c r="V73" i="5"/>
  <c r="U74" i="5"/>
  <c r="W122" i="5" a="1"/>
  <c r="W122" i="5" s="1"/>
  <c r="V63" i="5"/>
  <c r="X63" i="5" s="1"/>
  <c r="B5" i="4"/>
  <c r="C5" i="4" s="1"/>
  <c r="D5" i="4"/>
  <c r="H28" i="4"/>
  <c r="I28" i="4" s="1"/>
  <c r="V94" i="5" l="1"/>
  <c r="X94" i="5" s="1"/>
  <c r="U95" i="5"/>
  <c r="V319" i="5"/>
  <c r="E40" i="5"/>
  <c r="V325" i="5"/>
  <c r="X325" i="5" s="1"/>
  <c r="U326" i="5"/>
  <c r="U207" i="5"/>
  <c r="E24" i="5" s="1"/>
  <c r="V206" i="5"/>
  <c r="X206" i="5" s="1"/>
  <c r="V269" i="5"/>
  <c r="X269" i="5" s="1"/>
  <c r="U270" i="5"/>
  <c r="U312" i="5"/>
  <c r="V311" i="5"/>
  <c r="X311" i="5" s="1"/>
  <c r="X73" i="5"/>
  <c r="M143" i="5"/>
  <c r="N143" i="5" s="1"/>
  <c r="O143" i="5" s="1"/>
  <c r="T143" i="5" s="1"/>
  <c r="U143" i="5" s="1"/>
  <c r="M304" i="5"/>
  <c r="N304" i="5" s="1"/>
  <c r="O304" i="5" s="1"/>
  <c r="T304" i="5" s="1"/>
  <c r="U304" i="5" s="1"/>
  <c r="W193" i="5"/>
  <c r="D22" i="5" s="1"/>
  <c r="X193" i="5"/>
  <c r="C22" i="5" s="1"/>
  <c r="B22" i="5" s="1"/>
  <c r="U116" i="5"/>
  <c r="V115" i="5"/>
  <c r="X115" i="5" s="1"/>
  <c r="W95" i="5"/>
  <c r="D8" i="5" s="1"/>
  <c r="X95" i="5"/>
  <c r="C8" i="5" s="1"/>
  <c r="B8" i="5" s="1"/>
  <c r="F13" i="5"/>
  <c r="M129" i="5"/>
  <c r="N129" i="5" s="1"/>
  <c r="O129" i="5" s="1"/>
  <c r="T129" i="5" s="1"/>
  <c r="U129" i="5" s="1"/>
  <c r="W129" i="5" a="1"/>
  <c r="W129" i="5" s="1"/>
  <c r="F45" i="5"/>
  <c r="M353" i="5"/>
  <c r="N353" i="5" s="1"/>
  <c r="O353" i="5" s="1"/>
  <c r="T353" i="5" s="1"/>
  <c r="U353" i="5" s="1"/>
  <c r="W353" i="5" a="1"/>
  <c r="W353" i="5" s="1"/>
  <c r="F46" i="5"/>
  <c r="W360" i="5" a="1"/>
  <c r="W360" i="5" s="1"/>
  <c r="M360" i="5"/>
  <c r="N360" i="5" s="1"/>
  <c r="O360" i="5" s="1"/>
  <c r="T360" i="5" s="1"/>
  <c r="U360" i="5" s="1"/>
  <c r="W227" i="5" a="1"/>
  <c r="W227" i="5" s="1"/>
  <c r="M227" i="5"/>
  <c r="N227" i="5" s="1"/>
  <c r="O227" i="5" s="1"/>
  <c r="T227" i="5" s="1"/>
  <c r="U227" i="5" s="1"/>
  <c r="F27" i="5"/>
  <c r="V81" i="5"/>
  <c r="E6" i="5"/>
  <c r="W81" i="5"/>
  <c r="D6" i="5" s="1"/>
  <c r="X81" i="5"/>
  <c r="C6" i="5" s="1"/>
  <c r="B6" i="5" s="1"/>
  <c r="W170" i="5" a="1"/>
  <c r="W170" i="5" s="1"/>
  <c r="X170" i="5" s="1"/>
  <c r="M170" i="5"/>
  <c r="N170" i="5" s="1"/>
  <c r="O170" i="5" s="1"/>
  <c r="T170" i="5" s="1"/>
  <c r="U170" i="5" s="1"/>
  <c r="V170" i="5" s="1"/>
  <c r="M346" i="5"/>
  <c r="N346" i="5" s="1"/>
  <c r="O346" i="5" s="1"/>
  <c r="T346" i="5" s="1"/>
  <c r="U346" i="5" s="1"/>
  <c r="F44" i="5"/>
  <c r="W283" i="5" a="1"/>
  <c r="W283" i="5" s="1"/>
  <c r="E11" i="5"/>
  <c r="V116" i="5"/>
  <c r="X116" i="5"/>
  <c r="C11" i="5" s="1"/>
  <c r="B11" i="5" s="1"/>
  <c r="W116" i="5"/>
  <c r="D11" i="5" s="1"/>
  <c r="E8" i="5"/>
  <c r="V95" i="5"/>
  <c r="E47" i="5"/>
  <c r="V368" i="5"/>
  <c r="W368" i="5"/>
  <c r="D47" i="5" s="1"/>
  <c r="X368" i="5"/>
  <c r="C47" i="5" s="1"/>
  <c r="B47" i="5" s="1"/>
  <c r="U382" i="5"/>
  <c r="V381" i="5"/>
  <c r="X381" i="5" s="1"/>
  <c r="M297" i="5"/>
  <c r="N297" i="5" s="1"/>
  <c r="O297" i="5" s="1"/>
  <c r="T297" i="5" s="1"/>
  <c r="U297" i="5" s="1"/>
  <c r="F37" i="5"/>
  <c r="W297" i="5" a="1"/>
  <c r="W297" i="5" s="1"/>
  <c r="W326" i="5"/>
  <c r="D41" i="5" s="1"/>
  <c r="X326" i="5"/>
  <c r="C41" i="5" s="1"/>
  <c r="B41" i="5" s="1"/>
  <c r="V326" i="5"/>
  <c r="E41" i="5"/>
  <c r="W158" i="5"/>
  <c r="D17" i="5" s="1"/>
  <c r="X158" i="5"/>
  <c r="C17" i="5" s="1"/>
  <c r="B17" i="5" s="1"/>
  <c r="W276" i="5" a="1"/>
  <c r="W276" i="5" s="1"/>
  <c r="F34" i="5"/>
  <c r="M276" i="5"/>
  <c r="N276" i="5" s="1"/>
  <c r="O276" i="5" s="1"/>
  <c r="T276" i="5" s="1"/>
  <c r="U276" i="5" s="1"/>
  <c r="X214" i="5"/>
  <c r="C25" i="5" s="1"/>
  <c r="B25" i="5" s="1"/>
  <c r="W214" i="5"/>
  <c r="D25" i="5" s="1"/>
  <c r="V214" i="5"/>
  <c r="E25" i="5"/>
  <c r="V207" i="5"/>
  <c r="X207" i="5"/>
  <c r="C24" i="5" s="1"/>
  <c r="B24" i="5" s="1"/>
  <c r="W207" i="5"/>
  <c r="D24" i="5" s="1"/>
  <c r="V158" i="5"/>
  <c r="E17" i="5"/>
  <c r="M136" i="5"/>
  <c r="N136" i="5" s="1"/>
  <c r="O136" i="5" s="1"/>
  <c r="T136" i="5" s="1"/>
  <c r="U136" i="5" s="1"/>
  <c r="F14" i="5"/>
  <c r="W163" i="5" a="1"/>
  <c r="W163" i="5" s="1"/>
  <c r="M395" i="5"/>
  <c r="N395" i="5" s="1"/>
  <c r="O395" i="5" s="1"/>
  <c r="T395" i="5" s="1"/>
  <c r="U395" i="5" s="1"/>
  <c r="F51" i="5"/>
  <c r="W395" i="5" a="1"/>
  <c r="W395" i="5" s="1"/>
  <c r="E5" i="5"/>
  <c r="V74" i="5"/>
  <c r="M122" i="5"/>
  <c r="N122" i="5" s="1"/>
  <c r="O122" i="5" s="1"/>
  <c r="T122" i="5" s="1"/>
  <c r="U122" i="5" s="1"/>
  <c r="F12" i="5"/>
  <c r="H29" i="4"/>
  <c r="I29" i="4" s="1"/>
  <c r="E5" i="4"/>
  <c r="V276" i="5" l="1"/>
  <c r="X276" i="5" s="1"/>
  <c r="U277" i="5"/>
  <c r="W270" i="5"/>
  <c r="D33" i="5" s="1"/>
  <c r="X270" i="5"/>
  <c r="C33" i="5" s="1"/>
  <c r="B33" i="5" s="1"/>
  <c r="V270" i="5"/>
  <c r="E33" i="5"/>
  <c r="E39" i="5"/>
  <c r="V312" i="5"/>
  <c r="X312" i="5"/>
  <c r="C39" i="5" s="1"/>
  <c r="B39" i="5" s="1"/>
  <c r="W312" i="5"/>
  <c r="D39" i="5" s="1"/>
  <c r="V143" i="5"/>
  <c r="U144" i="5"/>
  <c r="V304" i="5"/>
  <c r="X304" i="5" s="1"/>
  <c r="U305" i="5"/>
  <c r="V353" i="5"/>
  <c r="X353" i="5" s="1"/>
  <c r="U354" i="5"/>
  <c r="U361" i="5"/>
  <c r="V360" i="5"/>
  <c r="X360" i="5" s="1"/>
  <c r="U228" i="5"/>
  <c r="V227" i="5"/>
  <c r="X227" i="5" s="1"/>
  <c r="V346" i="5"/>
  <c r="U347" i="5"/>
  <c r="M283" i="5"/>
  <c r="N283" i="5" s="1"/>
  <c r="O283" i="5" s="1"/>
  <c r="T283" i="5" s="1"/>
  <c r="U283" i="5" s="1"/>
  <c r="F35" i="5"/>
  <c r="W143" i="5" a="1"/>
  <c r="W143" i="5" s="1"/>
  <c r="F15" i="5"/>
  <c r="W74" i="5"/>
  <c r="D5" i="5" s="1"/>
  <c r="X74" i="5"/>
  <c r="C5" i="5" s="1"/>
  <c r="B5" i="5" s="1"/>
  <c r="V129" i="5"/>
  <c r="X129" i="5" s="1"/>
  <c r="U130" i="5"/>
  <c r="W199" i="5" a="1"/>
  <c r="W199" i="5" s="1"/>
  <c r="F23" i="5"/>
  <c r="M199" i="5"/>
  <c r="N199" i="5" s="1"/>
  <c r="O199" i="5" s="1"/>
  <c r="T199" i="5" s="1"/>
  <c r="U199" i="5" s="1"/>
  <c r="M108" i="5"/>
  <c r="N108" i="5" s="1"/>
  <c r="O108" i="5" s="1"/>
  <c r="T108" i="5" s="1"/>
  <c r="U108" i="5" s="1"/>
  <c r="W254" i="5" a="1"/>
  <c r="W254" i="5" s="1"/>
  <c r="M254" i="5"/>
  <c r="N254" i="5" s="1"/>
  <c r="O254" i="5" s="1"/>
  <c r="T254" i="5" s="1"/>
  <c r="U254" i="5" s="1"/>
  <c r="V254" i="5" s="1"/>
  <c r="X254" i="5" s="1"/>
  <c r="W136" i="5" a="1"/>
  <c r="W136" i="5" s="1"/>
  <c r="E49" i="5"/>
  <c r="V382" i="5"/>
  <c r="W382" i="5"/>
  <c r="D49" i="5" s="1"/>
  <c r="X382" i="5"/>
  <c r="C49" i="5" s="1"/>
  <c r="B49" i="5" s="1"/>
  <c r="X228" i="5"/>
  <c r="C27" i="5" s="1"/>
  <c r="B27" i="5" s="1"/>
  <c r="W228" i="5"/>
  <c r="D27" i="5" s="1"/>
  <c r="U298" i="5"/>
  <c r="V297" i="5"/>
  <c r="X297" i="5" s="1"/>
  <c r="F26" i="5"/>
  <c r="W220" i="5" a="1"/>
  <c r="W220" i="5" s="1"/>
  <c r="M220" i="5"/>
  <c r="N220" i="5" s="1"/>
  <c r="O220" i="5" s="1"/>
  <c r="T220" i="5" s="1"/>
  <c r="U220" i="5" s="1"/>
  <c r="V136" i="5"/>
  <c r="U137" i="5"/>
  <c r="V395" i="5"/>
  <c r="X395" i="5" s="1"/>
  <c r="U396" i="5"/>
  <c r="W339" i="5" a="1"/>
  <c r="W339" i="5" s="1"/>
  <c r="F43" i="5"/>
  <c r="M339" i="5"/>
  <c r="N339" i="5" s="1"/>
  <c r="O339" i="5" s="1"/>
  <c r="T339" i="5" s="1"/>
  <c r="U339" i="5" s="1"/>
  <c r="F30" i="5"/>
  <c r="M163" i="5"/>
  <c r="N163" i="5" s="1"/>
  <c r="O163" i="5" s="1"/>
  <c r="T163" i="5" s="1"/>
  <c r="U163" i="5" s="1"/>
  <c r="V163" i="5" s="1"/>
  <c r="X163" i="5" s="1"/>
  <c r="U123" i="5"/>
  <c r="V122" i="5"/>
  <c r="X122" i="5" s="1"/>
  <c r="H30" i="4"/>
  <c r="I30" i="4" s="1"/>
  <c r="W277" i="5" l="1"/>
  <c r="D34" i="5" s="1"/>
  <c r="X277" i="5"/>
  <c r="C34" i="5" s="1"/>
  <c r="B34" i="5" s="1"/>
  <c r="E34" i="5"/>
  <c r="V277" i="5"/>
  <c r="X354" i="5"/>
  <c r="C45" i="5" s="1"/>
  <c r="B45" i="5" s="1"/>
  <c r="W354" i="5"/>
  <c r="D45" i="5" s="1"/>
  <c r="W130" i="5"/>
  <c r="D13" i="5" s="1"/>
  <c r="X130" i="5"/>
  <c r="C13" i="5" s="1"/>
  <c r="B13" i="5" s="1"/>
  <c r="E13" i="5"/>
  <c r="V130" i="5"/>
  <c r="E37" i="5"/>
  <c r="V298" i="5"/>
  <c r="W298" i="5"/>
  <c r="D37" i="5" s="1"/>
  <c r="X298" i="5"/>
  <c r="C37" i="5" s="1"/>
  <c r="B37" i="5" s="1"/>
  <c r="V144" i="5"/>
  <c r="E15" i="5"/>
  <c r="X305" i="5"/>
  <c r="C38" i="5" s="1"/>
  <c r="B38" i="5" s="1"/>
  <c r="W305" i="5"/>
  <c r="D38" i="5" s="1"/>
  <c r="E38" i="5"/>
  <c r="V305" i="5"/>
  <c r="V354" i="5"/>
  <c r="E45" i="5"/>
  <c r="V361" i="5"/>
  <c r="E46" i="5"/>
  <c r="E27" i="5"/>
  <c r="V228" i="5"/>
  <c r="E44" i="5"/>
  <c r="V347" i="5"/>
  <c r="V283" i="5"/>
  <c r="X283" i="5" s="1"/>
  <c r="U284" i="5"/>
  <c r="V199" i="5"/>
  <c r="X199" i="5" s="1"/>
  <c r="U200" i="5"/>
  <c r="W108" i="5" a="1"/>
  <c r="W108" i="5" s="1"/>
  <c r="F10" i="5"/>
  <c r="X143" i="5"/>
  <c r="X346" i="5"/>
  <c r="X136" i="5"/>
  <c r="W137" i="5" s="1"/>
  <c r="D14" i="5" s="1"/>
  <c r="X361" i="5"/>
  <c r="C46" i="5" s="1"/>
  <c r="B46" i="5" s="1"/>
  <c r="W361" i="5"/>
  <c r="D46" i="5" s="1"/>
  <c r="U109" i="5"/>
  <c r="V108" i="5"/>
  <c r="X108" i="5" s="1"/>
  <c r="W248" i="5" a="1"/>
  <c r="W248" i="5" s="1"/>
  <c r="M248" i="5"/>
  <c r="N248" i="5" s="1"/>
  <c r="O248" i="5" s="1"/>
  <c r="T248" i="5" s="1"/>
  <c r="U248" i="5" s="1"/>
  <c r="V248" i="5" s="1"/>
  <c r="X248" i="5" s="1"/>
  <c r="V123" i="5"/>
  <c r="E12" i="5"/>
  <c r="W123" i="5"/>
  <c r="D12" i="5" s="1"/>
  <c r="X123" i="5"/>
  <c r="C12" i="5" s="1"/>
  <c r="B12" i="5" s="1"/>
  <c r="W150" i="5" a="1"/>
  <c r="W150" i="5" s="1"/>
  <c r="F16" i="5"/>
  <c r="M150" i="5"/>
  <c r="N150" i="5" s="1"/>
  <c r="O150" i="5" s="1"/>
  <c r="T150" i="5" s="1"/>
  <c r="U150" i="5" s="1"/>
  <c r="V220" i="5"/>
  <c r="X220" i="5" s="1"/>
  <c r="U221" i="5"/>
  <c r="F28" i="5"/>
  <c r="W234" i="5" a="1"/>
  <c r="W234" i="5" s="1"/>
  <c r="M234" i="5"/>
  <c r="N234" i="5" s="1"/>
  <c r="O234" i="5" s="1"/>
  <c r="T234" i="5" s="1"/>
  <c r="U234" i="5" s="1"/>
  <c r="U249" i="5"/>
  <c r="V137" i="5"/>
  <c r="E14" i="5"/>
  <c r="X396" i="5"/>
  <c r="C51" i="5" s="1"/>
  <c r="B51" i="5" s="1"/>
  <c r="W396" i="5"/>
  <c r="D51" i="5" s="1"/>
  <c r="E51" i="5"/>
  <c r="V396" i="5"/>
  <c r="X137" i="5"/>
  <c r="C14" i="5" s="1"/>
  <c r="B14" i="5" s="1"/>
  <c r="V339" i="5"/>
  <c r="X339" i="5" s="1"/>
  <c r="U340" i="5"/>
  <c r="H31" i="4"/>
  <c r="I31" i="4" s="1"/>
  <c r="X284" i="5" l="1"/>
  <c r="C35" i="5" s="1"/>
  <c r="B35" i="5" s="1"/>
  <c r="W284" i="5"/>
  <c r="D35" i="5" s="1"/>
  <c r="E35" i="5"/>
  <c r="V284" i="5"/>
  <c r="W200" i="5"/>
  <c r="D23" i="5" s="1"/>
  <c r="X200" i="5"/>
  <c r="C23" i="5" s="1"/>
  <c r="B23" i="5" s="1"/>
  <c r="E23" i="5"/>
  <c r="V200" i="5"/>
  <c r="W144" i="5"/>
  <c r="D15" i="5" s="1"/>
  <c r="X144" i="5"/>
  <c r="C15" i="5" s="1"/>
  <c r="B15" i="5" s="1"/>
  <c r="X347" i="5"/>
  <c r="C44" i="5" s="1"/>
  <c r="W347" i="5"/>
  <c r="D44" i="5" s="1"/>
  <c r="W109" i="5"/>
  <c r="D10" i="5" s="1"/>
  <c r="X109" i="5"/>
  <c r="C10" i="5" s="1"/>
  <c r="B10" i="5" s="1"/>
  <c r="E10" i="5"/>
  <c r="V109" i="5"/>
  <c r="V150" i="5"/>
  <c r="X150" i="5" s="1"/>
  <c r="U151" i="5"/>
  <c r="F7" i="5"/>
  <c r="W87" i="5" a="1"/>
  <c r="W87" i="5" s="1"/>
  <c r="M178" i="5"/>
  <c r="N178" i="5" s="1"/>
  <c r="O178" i="5" s="1"/>
  <c r="T178" i="5" s="1"/>
  <c r="U178" i="5" s="1"/>
  <c r="V249" i="5"/>
  <c r="E30" i="5"/>
  <c r="X221" i="5"/>
  <c r="C26" i="5" s="1"/>
  <c r="B26" i="5" s="1"/>
  <c r="W221" i="5"/>
  <c r="D26" i="5" s="1"/>
  <c r="V221" i="5"/>
  <c r="E26" i="5"/>
  <c r="M87" i="5"/>
  <c r="N87" i="5" s="1"/>
  <c r="O87" i="5" s="1"/>
  <c r="T87" i="5" s="1"/>
  <c r="U87" i="5" s="1"/>
  <c r="U235" i="5"/>
  <c r="V234" i="5"/>
  <c r="X234" i="5" s="1"/>
  <c r="W249" i="5"/>
  <c r="D30" i="5" s="1"/>
  <c r="X249" i="5"/>
  <c r="C30" i="5" s="1"/>
  <c r="B30" i="5" s="1"/>
  <c r="W340" i="5"/>
  <c r="D43" i="5" s="1"/>
  <c r="X340" i="5"/>
  <c r="C43" i="5" s="1"/>
  <c r="B43" i="5" s="1"/>
  <c r="V340" i="5"/>
  <c r="E43" i="5"/>
  <c r="H32" i="4"/>
  <c r="I32" i="4" s="1"/>
  <c r="B44" i="5" l="1"/>
  <c r="C6" i="6"/>
  <c r="W151" i="5"/>
  <c r="D16" i="5" s="1"/>
  <c r="X151" i="5"/>
  <c r="C16" i="5" s="1"/>
  <c r="B16" i="5" s="1"/>
  <c r="V151" i="5"/>
  <c r="E16" i="5"/>
  <c r="V235" i="5"/>
  <c r="E28" i="5"/>
  <c r="W178" i="5" a="1"/>
  <c r="W178" i="5" s="1"/>
  <c r="F20" i="5"/>
  <c r="U179" i="5"/>
  <c r="V178" i="5"/>
  <c r="W235" i="5"/>
  <c r="D28" i="5" s="1"/>
  <c r="X235" i="5"/>
  <c r="C28" i="5" s="1"/>
  <c r="B28" i="5" s="1"/>
  <c r="U88" i="5"/>
  <c r="V87" i="5"/>
  <c r="X87" i="5" s="1"/>
  <c r="H33" i="4"/>
  <c r="I33" i="4" s="1"/>
  <c r="E20" i="5" l="1"/>
  <c r="V179" i="5"/>
  <c r="X178" i="5"/>
  <c r="W171" i="5" a="1"/>
  <c r="W171" i="5" s="1"/>
  <c r="F19" i="5"/>
  <c r="M171" i="5"/>
  <c r="N171" i="5" s="1"/>
  <c r="O171" i="5" s="1"/>
  <c r="T171" i="5" s="1"/>
  <c r="U171" i="5" s="1"/>
  <c r="U172" i="5" s="1"/>
  <c r="E7" i="5"/>
  <c r="V88" i="5"/>
  <c r="X88" i="5"/>
  <c r="C7" i="5" s="1"/>
  <c r="B7" i="5" s="1"/>
  <c r="W88" i="5"/>
  <c r="D7" i="5" s="1"/>
  <c r="V171" i="5"/>
  <c r="X171" i="5" s="1"/>
  <c r="H34" i="4"/>
  <c r="I34" i="4" s="1"/>
  <c r="W179" i="5" l="1"/>
  <c r="D20" i="5" s="1"/>
  <c r="X179" i="5"/>
  <c r="C20" i="5" s="1"/>
  <c r="B20" i="5" s="1"/>
  <c r="F31" i="5"/>
  <c r="W255" i="5" a="1"/>
  <c r="W255" i="5" s="1"/>
  <c r="M255" i="5"/>
  <c r="N255" i="5" s="1"/>
  <c r="O255" i="5" s="1"/>
  <c r="T255" i="5" s="1"/>
  <c r="U255" i="5" s="1"/>
  <c r="E19" i="5"/>
  <c r="V172" i="5"/>
  <c r="W172" i="5"/>
  <c r="D19" i="5" s="1"/>
  <c r="X172" i="5"/>
  <c r="C19" i="5" s="1"/>
  <c r="B19" i="5" s="1"/>
  <c r="H35" i="4"/>
  <c r="I35" i="4" s="1"/>
  <c r="U256" i="5" l="1"/>
  <c r="V255" i="5"/>
  <c r="X255" i="5" s="1"/>
  <c r="W164" i="5" a="1"/>
  <c r="W164" i="5" s="1"/>
  <c r="M164" i="5"/>
  <c r="N164" i="5" s="1"/>
  <c r="O164" i="5" s="1"/>
  <c r="T164" i="5" s="1"/>
  <c r="U164" i="5" s="1"/>
  <c r="F18" i="5"/>
  <c r="H36" i="4"/>
  <c r="I36" i="4" s="1"/>
  <c r="V256" i="5" l="1"/>
  <c r="E31" i="5"/>
  <c r="W256" i="5"/>
  <c r="D31" i="5" s="1"/>
  <c r="X256" i="5"/>
  <c r="C31" i="5" s="1"/>
  <c r="B31" i="5" s="1"/>
  <c r="U165" i="5"/>
  <c r="V164" i="5"/>
  <c r="X164" i="5" s="1"/>
  <c r="W165" i="5"/>
  <c r="D18" i="5" s="1"/>
  <c r="X165" i="5"/>
  <c r="C18" i="5" s="1"/>
  <c r="B18" i="5" s="1"/>
  <c r="H37" i="4"/>
  <c r="I37" i="4" s="1"/>
  <c r="E18" i="5" l="1"/>
  <c r="V165" i="5"/>
  <c r="W64" i="5" a="1"/>
  <c r="W64" i="5" s="1"/>
  <c r="H38" i="4"/>
  <c r="I38" i="4" s="1"/>
  <c r="E6" i="3" l="1"/>
  <c r="F6" i="3" s="1"/>
  <c r="G6" i="3" s="1"/>
  <c r="L6" i="3" s="1"/>
  <c r="M6" i="3" s="1"/>
  <c r="M64" i="5"/>
  <c r="N64" i="5" s="1"/>
  <c r="O64" i="5" s="1"/>
  <c r="T64" i="5" s="1"/>
  <c r="U64" i="5" s="1"/>
  <c r="H39" i="4"/>
  <c r="I39" i="4" s="1"/>
  <c r="B6" i="4" l="1"/>
  <c r="C6" i="4" s="1"/>
  <c r="V64" i="5"/>
  <c r="X64" i="5" s="1"/>
  <c r="D6" i="4"/>
  <c r="H40" i="4"/>
  <c r="I40" i="4" s="1"/>
  <c r="E6" i="4" l="1"/>
  <c r="H41" i="4"/>
  <c r="I41" i="4" s="1"/>
  <c r="H42" i="4" l="1"/>
  <c r="I42" i="4" s="1"/>
  <c r="H43" i="4" l="1"/>
  <c r="I43" i="4" s="1"/>
  <c r="H44" i="4" l="1"/>
  <c r="I44" i="4" s="1"/>
  <c r="H45" i="4" l="1"/>
  <c r="I45" i="4" s="1"/>
  <c r="H46" i="4" l="1"/>
  <c r="I46" i="4" s="1"/>
  <c r="H47" i="4" l="1"/>
  <c r="I47" i="4" s="1"/>
  <c r="H48" i="4" l="1"/>
  <c r="I48" i="4" s="1"/>
  <c r="H49" i="4" l="1"/>
  <c r="I49" i="4" s="1"/>
  <c r="H50" i="4" l="1"/>
  <c r="I50" i="4" s="1"/>
  <c r="W65" i="5" l="1" a="1"/>
  <c r="W65" i="5" s="1"/>
  <c r="M65" i="5"/>
  <c r="N65" i="5" s="1"/>
  <c r="O65" i="5" s="1"/>
  <c r="T65" i="5" s="1"/>
  <c r="U65" i="5" s="1"/>
  <c r="E7" i="3"/>
  <c r="F7" i="3" s="1"/>
  <c r="G7" i="3" s="1"/>
  <c r="L7" i="3" s="1"/>
  <c r="M7" i="3" s="1"/>
  <c r="H51" i="4"/>
  <c r="I51" i="4" s="1"/>
  <c r="V65" i="5" l="1"/>
  <c r="X65" i="5" s="1"/>
  <c r="B7" i="4"/>
  <c r="C7" i="4" s="1"/>
  <c r="D7" i="4"/>
  <c r="H52" i="4"/>
  <c r="I52" i="4" s="1"/>
  <c r="E7" i="4" l="1"/>
  <c r="H53" i="4"/>
  <c r="I53" i="4" s="1"/>
  <c r="H54" i="4" l="1"/>
  <c r="I54" i="4" s="1"/>
  <c r="H55" i="4" l="1"/>
  <c r="I55" i="4" s="1"/>
  <c r="H56" i="4" l="1"/>
  <c r="I56" i="4" s="1"/>
  <c r="H57" i="4" l="1"/>
  <c r="I57" i="4" s="1"/>
  <c r="H58" i="4" l="1"/>
  <c r="I58" i="4" s="1"/>
  <c r="H59" i="4" l="1"/>
  <c r="I59" i="4" s="1"/>
  <c r="H60" i="4" l="1"/>
  <c r="I60" i="4" s="1"/>
  <c r="H61" i="4" l="1"/>
  <c r="I61" i="4" s="1"/>
  <c r="W66" i="5" l="1" a="1"/>
  <c r="W66" i="5" s="1"/>
  <c r="H62" i="4"/>
  <c r="I62" i="4" s="1"/>
  <c r="M66" i="5" l="1"/>
  <c r="N66" i="5" s="1"/>
  <c r="O66" i="5" s="1"/>
  <c r="T66" i="5" s="1"/>
  <c r="U66" i="5" s="1"/>
  <c r="E8" i="3"/>
  <c r="F8" i="3" s="1"/>
  <c r="G8" i="3" s="1"/>
  <c r="L8" i="3" s="1"/>
  <c r="M8" i="3" s="1"/>
  <c r="B8" i="4" s="1"/>
  <c r="C8" i="4" s="1"/>
  <c r="F4" i="5"/>
  <c r="H63" i="4"/>
  <c r="I63" i="4" s="1"/>
  <c r="D8" i="4" s="1"/>
  <c r="E8" i="4" l="1"/>
  <c r="E9" i="4" s="1"/>
  <c r="U67" i="5"/>
  <c r="V66" i="5"/>
  <c r="X66" i="5" s="1"/>
  <c r="V67" i="5" l="1"/>
  <c r="E4" i="5"/>
  <c r="W67" i="5"/>
  <c r="D4" i="5" s="1"/>
  <c r="X67" i="5"/>
  <c r="C4" i="5" s="1"/>
  <c r="B7" i="6" l="1"/>
  <c r="B11" i="6"/>
  <c r="B6" i="6"/>
  <c r="B12" i="6"/>
  <c r="B10" i="6"/>
  <c r="B9" i="6"/>
  <c r="B8" i="6"/>
  <c r="C9" i="6"/>
  <c r="E9" i="6" s="1"/>
  <c r="C8" i="6"/>
  <c r="E8" i="6" s="1"/>
  <c r="C11" i="6"/>
  <c r="E11" i="6" s="1"/>
  <c r="C12" i="6"/>
  <c r="E12" i="6" s="1"/>
  <c r="C7" i="6"/>
  <c r="E7" i="6" s="1"/>
  <c r="E6" i="6"/>
  <c r="C10" i="6"/>
  <c r="E10" i="6" s="1"/>
  <c r="B4" i="5"/>
  <c r="E13" i="6" l="1"/>
  <c r="B17" i="6" s="1"/>
  <c r="B18" i="6" s="1"/>
  <c r="B23" i="6" l="1"/>
  <c r="B24" i="6" s="1"/>
  <c r="B44" i="7" s="1"/>
  <c r="B4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<sst xmlns="http://schemas.openxmlformats.org/spreadsheetml/2006/main" count="200" uniqueCount="175">
  <si>
    <t>C3 RBC Capital Charge — FABN Example: Global Assumptions</t>
  </si>
  <si>
    <t>FABN Face Value ($)</t>
  </si>
  <si>
    <t>FABN Crediting Rate</t>
  </si>
  <si>
    <t>FABN Maturity (years)</t>
  </si>
  <si>
    <t>Asset Coupon Rate</t>
  </si>
  <si>
    <t>Asset Total Par ($)</t>
  </si>
  <si>
    <t>Annual Maturing Principal ($)</t>
  </si>
  <si>
    <t>Annual Expenses ($)</t>
  </si>
  <si>
    <t>Tax Rate</t>
  </si>
  <si>
    <t>CIR kappa (mean reversion speed)</t>
  </si>
  <si>
    <t>CIR theta (long-run mean rate)</t>
  </si>
  <si>
    <t>CIR sigma (volatility)</t>
  </si>
  <si>
    <t>Initial Rate r0</t>
  </si>
  <si>
    <t>Number of Scenarios</t>
  </si>
  <si>
    <t>Months to Project</t>
  </si>
  <si>
    <t>50 Stochastic Interest Rate Scenarios — CIR Model (Monthly, 5-Year Horizon)</t>
  </si>
  <si>
    <t>Month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</si>
  <si>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</si>
  <si>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</si>
  <si>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</si>
  <si>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</si>
  <si>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</si>
  <si>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</si>
  <si>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</si>
  <si>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</si>
  <si>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</si>
  <si>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</si>
  <si>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</si>
  <si>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</si>
  <si>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</si>
  <si>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</si>
  <si>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</si>
  <si>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</si>
  <si>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</si>
  <si>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</si>
  <si>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</si>
  <si>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</si>
  <si>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Scenario 21</t>
  </si>
  <si>
    <t>Scenario 22</t>
  </si>
  <si>
    <t>Scenario 23</t>
  </si>
  <si>
    <t>Scenario 24</t>
  </si>
  <si>
    <t>Scenario 25</t>
  </si>
  <si>
    <t>Scenario 26</t>
  </si>
  <si>
    <t>Scenario 27</t>
  </si>
  <si>
    <t>Scenario 28</t>
  </si>
  <si>
    <t>Scenario 29</t>
  </si>
  <si>
    <t>Scenario 30</t>
  </si>
  <si>
    <t>Scenario 31</t>
  </si>
  <si>
    <t>Scenario 32</t>
  </si>
  <si>
    <t>Scenario 33</t>
  </si>
  <si>
    <t>Scenario 34</t>
  </si>
  <si>
    <t>Scenario 35</t>
  </si>
  <si>
    <t>Scenario 36</t>
  </si>
  <si>
    <t>Scenario 37</t>
  </si>
  <si>
    <t>Scenario 38</t>
  </si>
  <si>
    <t>Scenario 39</t>
  </si>
  <si>
    <t>Scenario 40</t>
  </si>
  <si>
    <t>Scenario 41</t>
  </si>
  <si>
    <t>Scenario 42</t>
  </si>
  <si>
    <t>Scenario 43</t>
  </si>
  <si>
    <t>Scenario 44</t>
  </si>
  <si>
    <t>Scenario 45</t>
  </si>
  <si>
    <t>Scenario 46</t>
  </si>
  <si>
    <t>Scenario 47</t>
  </si>
  <si>
    <t>Scenario 48</t>
  </si>
  <si>
    <t>Scenario 49</t>
  </si>
  <si>
    <t>Scenario 50</t>
  </si>
  <si>
    <t>Cash Flow Projection — Scenario 1 (Detailed Teaching Sheet)</t>
  </si>
  <si>
    <t>Every component is shown explicitly. Inflows (green) – Outflows (red) = Net Cash (blue). Accumulated Cash tracks the running balance.</t>
  </si>
  <si>
    <t>Year</t>
  </si>
  <si>
    <t>Outstanding Asset Par ($)</t>
  </si>
  <si>
    <t>Bond Coupons ($)</t>
  </si>
  <si>
    <t>Maturing Principal ($)</t>
  </si>
  <si>
    <t>Annual Rate (Scen 1)</t>
  </si>
  <si>
    <t>Reinvestment Income ($)</t>
  </si>
  <si>
    <t>Total Cash In ($)</t>
  </si>
  <si>
    <t>FABN Interest ($)</t>
  </si>
  <si>
    <t>FABN Principal ($)</t>
  </si>
  <si>
    <t>Expenses ($)</t>
  </si>
  <si>
    <t>Total Cash Out ($)</t>
  </si>
  <si>
    <t>Net Cash ($)</t>
  </si>
  <si>
    <t>Accumulated Cash ($)</t>
  </si>
  <si>
    <t>Present Value of Accumulated Deficiencies (PVAD) — Scenario 1</t>
  </si>
  <si>
    <t>PVAD = MAX(0, -AccumCash) × Cumulative Discount Factor. SGPV = Maximum PVAD across all years. Used to size the C3 capital charge.</t>
  </si>
  <si>
    <t>Deficiency ($)</t>
  </si>
  <si>
    <t>Cumul. Discount Factor</t>
  </si>
  <si>
    <t>PVAD ($)</t>
  </si>
  <si>
    <t>[Helper] Month</t>
  </si>
  <si>
    <t>Monthly Rate (Scen 1)</t>
  </si>
  <si>
    <t>Running Cum. DF</t>
  </si>
  <si>
    <t>SGPV (Scenario Greatest PV):</t>
  </si>
  <si>
    <t>All Scenarios Summary — SGPV and Final Accumulated Cash for 50 Scenarios</t>
  </si>
  <si>
    <t>Scenario #</t>
  </si>
  <si>
    <t>SGPV ($)</t>
  </si>
  <si>
    <t>Worst Year</t>
  </si>
  <si>
    <t>Final Accum Cash ($)</t>
  </si>
  <si>
    <t>Avg 5Y Rate</t>
  </si>
  <si>
    <t>Each row = one CIR scenario. SGPV = Scenario Greatest Present Value. Sorted by SGPV descending → top 7 scenarios feed C3 charge.</t>
  </si>
  <si>
    <t>C3 Risk-Based Capital Charge — CTE Weighting of Top 7 Adverse Scenarios</t>
  </si>
  <si>
    <t>The C3 charge is a Conditional Tail Expectation (CTE) weighted average of the 7 worst-case SGPVs from the 50 stochastic scenarios. CTE(92-98) regulation requires 50 scenarios; weights emphasize the 4th worst (95th percentile) most heavily.</t>
  </si>
  <si>
    <t>SECTION 1: CTE Weighting — Top 7 Adverse Scenarios</t>
  </si>
  <si>
    <t>Rank</t>
  </si>
  <si>
    <t>CTE Weight</t>
  </si>
  <si>
    <t>Weighted SGPV ($)</t>
  </si>
  <si>
    <t>Percentile (approx)</t>
  </si>
  <si>
    <t>98th</t>
  </si>
  <si>
    <t>96th</t>
  </si>
  <si>
    <t>94th</t>
  </si>
  <si>
    <t>92nd</t>
  </si>
  <si>
    <t>90th</t>
  </si>
  <si>
    <t>88th</t>
  </si>
  <si>
    <t>86th</t>
  </si>
  <si>
    <t>C3 Charge (Pre-Tax):</t>
  </si>
  <si>
    <t>SECTION 2: After-Tax C3 Charge</t>
  </si>
  <si>
    <t>Tax Rate:</t>
  </si>
  <si>
    <t>C3 Pre-Tax:</t>
  </si>
  <si>
    <t>C3 Post-Tax (= Pre-Tax × (1 − Tax Rate)):</t>
  </si>
  <si>
    <t>SECTION 3: Shortcut Method Comparison</t>
  </si>
  <si>
    <t>Shortcut Rate (0.75% of FABN face):</t>
  </si>
  <si>
    <t>Shortcut C3 ($):</t>
  </si>
  <si>
    <t>Full Calc C3 Post-Tax ($):</t>
  </si>
  <si>
    <t>Difference (Full - Shortcut):</t>
  </si>
  <si>
    <t>INTERPRETATION:</t>
  </si>
  <si>
    <t>The CTE weighting uses the 7 worst scenarios out of 50 (86th–98th percentile). The 4th worst (92nd–95th percentile) receives 40% weight because regulators focus on 'bad but not catastrophic' outcomes. If C3 Post-Tax is close to $750,000 (the 0.75% shortcut), the shortcut is a reasonable approximation. A significant positive difference means the full model reveals greater risk than the shortcut captures.</t>
  </si>
  <si>
    <t>C3 Sensitivity Analysis — How C3 Post-Tax Changes as Key Inputs Vary</t>
  </si>
  <si>
    <t>Each table shows C3 Post-Tax computed from the frozen 50 CIR scenarios while varying one assumption from the Assumptions sheet. The base case ($750K shortcut) is shown as a reference line. NOTE: These are manual snapshots — Excel Data Table (=TABLE()) cannot be written programmatically.</t>
  </si>
  <si>
    <t>Table 1: Vary FABN Crediting Rate (FABN_Rate in Assumptions!B3)</t>
  </si>
  <si>
    <t>← Lower crediting rate → smaller interest outflow → lower C3</t>
  </si>
  <si>
    <t>Net Interest Spread (Asset Coupon − FABN Rate)</t>
  </si>
  <si>
    <t>Directional C3 Impact</t>
  </si>
  <si>
    <t>Lower C3</t>
  </si>
  <si>
    <t>◄ BASE CASE</t>
  </si>
  <si>
    <t>Higher C3</t>
  </si>
  <si>
    <t>Table 2: Vary Asset Coupon Rate (Asset_Coupon in Assumptions!B5)</t>
  </si>
  <si>
    <t>← Higher coupon → more cash inflow → smaller deficiency → lower C3</t>
  </si>
  <si>
    <t>Annual Coupon Income (Year 1, $100M par)</t>
  </si>
  <si>
    <t>Table 3: Vary FABN Maturity (FABN_Maturity in Assumptions!B4)</t>
  </si>
  <si>
    <t>← Longer maturity → principal repayment delayed → more reinvestment income accumulates → can lower C3, but also extends rate risk</t>
  </si>
  <si>
    <t>FABN Principal Payment Year</t>
  </si>
  <si>
    <t>Directional C3 Impact (qualitative)</t>
  </si>
  <si>
    <t>Year 3</t>
  </si>
  <si>
    <t>Higher C3 (less time to accumulate)</t>
  </si>
  <si>
    <t>Year 5</t>
  </si>
  <si>
    <t>Year 7</t>
  </si>
  <si>
    <t>Lower if rates rise; higher if rates fall</t>
  </si>
  <si>
    <t>Year 10</t>
  </si>
  <si>
    <t>Most sensitive to rate path</t>
  </si>
  <si>
    <t>Table 4: Vary CIR Volatility σ (CIR_sigma in Assumptions!B12)</t>
  </si>
  <si>
    <t>← Higher σ → wider spread of rate scenarios → more extreme low-rate scenarios → higher PVAD in worst cases → higher C3</t>
  </si>
  <si>
    <t>CIR Volatility (σ)</t>
  </si>
  <si>
    <t>Rate Std Dev (approx monthly, annualized)</t>
  </si>
  <si>
    <t>CURRENT MODEL OUTPUT (live, from Assumptions):</t>
  </si>
  <si>
    <t>C3 Post-Tax ($):</t>
  </si>
  <si>
    <t>Difference (Full − Shortcut):</t>
  </si>
  <si>
    <t>→ For full year-by-year detail, see 'Cash Flows - Scenario 1' and 'PVAD - Scenario 1' tabs</t>
  </si>
  <si>
    <t>→ To see all 50 scenario results, go to 'All Scenarios Summary' tab</t>
  </si>
  <si>
    <t>→ These accumulated cash values feed into 'PVAD - Scenario 1' for discounting and SGPV calculation</t>
  </si>
  <si>
    <t>All values above flow to CIR Scenarios → Cash Flows → PVAD → All Scenarios Summary → C3 Calculation</t>
  </si>
  <si>
    <t>TAB GUIDE:</t>
  </si>
  <si>
    <t>1. Assumptions</t>
  </si>
  <si>
    <t>2. CIR Scenarios</t>
  </si>
  <si>
    <t>50 stochastic rate paths (frozen values)</t>
  </si>
  <si>
    <t>3. Cash Flows - Scenario 1</t>
  </si>
  <si>
    <t>Full annual CF waterfall for Scenario 1</t>
  </si>
  <si>
    <t>4. PVAD - Scenario 1</t>
  </si>
  <si>
    <t>Discounted deficiency + SGPV for Scenario 1</t>
  </si>
  <si>
    <t>5. All Scenarios Summary</t>
  </si>
  <si>
    <t>SGPV summary for all 50 scenarios</t>
  </si>
  <si>
    <t>6. C3 Calculation</t>
  </si>
  <si>
    <t>CTE weighting → final C3 charge</t>
  </si>
  <si>
    <t>7. Sensitivity Analysis</t>
  </si>
  <si>
    <t>How C3 changes when inputs vary</t>
  </si>
  <si>
    <t>Here</t>
  </si>
  <si>
    <t>SGPV ($)_real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</si>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</sst>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00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i/>
      <sz val="12"/>
      <color rgb="FF0563C1"/>
      <name val="Aptos Narrow"/>
      <family val="2"/>
      <scheme val="minor"/>
    </font>
    <font>
      <i/>
      <u/>
      <sz val="12"/>
      <color rgb="FF0563C1"/>
      <name val="Aptos Narrow"/>
      <family val="2"/>
      <scheme val="minor"/>
    </font>
    <font>
      <b/>
      <i/>
      <sz val="12"/>
      <color rgb="FF595959"/>
      <name val="Aptos Narrow"/>
      <family val="2"/>
      <scheme val="minor"/>
    </font>
    <font>
      <sz val="12"/>
      <color rgb="FF0432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FFD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/>
    <xf numFmtId="0" fontId="3" fillId="0" borderId="0" xfId="0" applyFon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2" fillId="4" borderId="0" xfId="0" applyFont="1" applyFill="1"/>
    <xf numFmtId="3" fontId="0" fillId="4" borderId="0" xfId="0" applyNumberFormat="1" applyFill="1"/>
    <xf numFmtId="0" fontId="2" fillId="5" borderId="0" xfId="0" applyFont="1" applyFill="1"/>
    <xf numFmtId="3" fontId="0" fillId="5" borderId="0" xfId="0" applyNumberFormat="1" applyFill="1"/>
    <xf numFmtId="3" fontId="2" fillId="4" borderId="0" xfId="0" applyNumberFormat="1" applyFont="1" applyFill="1"/>
    <xf numFmtId="3" fontId="2" fillId="5" borderId="0" xfId="0" applyNumberFormat="1" applyFont="1" applyFill="1"/>
    <xf numFmtId="3" fontId="2" fillId="3" borderId="0" xfId="0" applyNumberFormat="1" applyFont="1" applyFill="1"/>
    <xf numFmtId="0" fontId="2" fillId="2" borderId="0" xfId="0" applyFont="1" applyFill="1"/>
    <xf numFmtId="0" fontId="2" fillId="6" borderId="0" xfId="0" applyFont="1" applyFill="1"/>
    <xf numFmtId="0" fontId="0" fillId="6" borderId="0" xfId="0" applyFill="1"/>
    <xf numFmtId="0" fontId="7" fillId="6" borderId="0" xfId="0" applyFont="1" applyFill="1"/>
    <xf numFmtId="165" fontId="0" fillId="0" borderId="0" xfId="0" applyNumberFormat="1"/>
    <xf numFmtId="3" fontId="6" fillId="5" borderId="0" xfId="0" applyNumberFormat="1" applyFont="1" applyFill="1"/>
    <xf numFmtId="1" fontId="0" fillId="7" borderId="0" xfId="0" applyNumberFormat="1" applyFill="1"/>
    <xf numFmtId="3" fontId="0" fillId="7" borderId="0" xfId="0" applyNumberFormat="1" applyFill="1"/>
    <xf numFmtId="164" fontId="0" fillId="7" borderId="0" xfId="0" applyNumberFormat="1" applyFill="1"/>
    <xf numFmtId="0" fontId="4" fillId="0" borderId="0" xfId="0" applyFont="1" applyAlignment="1">
      <alignment wrapText="1"/>
    </xf>
    <xf numFmtId="0" fontId="2" fillId="8" borderId="0" xfId="0" applyFont="1" applyFill="1"/>
    <xf numFmtId="0" fontId="0" fillId="8" borderId="0" xfId="0" applyFill="1"/>
    <xf numFmtId="0" fontId="0" fillId="8" borderId="0" xfId="0" applyFill="1" applyAlignment="1">
      <alignment wrapText="1"/>
    </xf>
    <xf numFmtId="0" fontId="0" fillId="8" borderId="0" xfId="0" applyFill="1"/>
    <xf numFmtId="3" fontId="0" fillId="6" borderId="0" xfId="0" applyNumberFormat="1" applyFill="1"/>
    <xf numFmtId="9" fontId="0" fillId="0" borderId="0" xfId="0" applyNumberFormat="1"/>
    <xf numFmtId="3" fontId="2" fillId="6" borderId="0" xfId="0" applyNumberFormat="1" applyFont="1" applyFill="1"/>
    <xf numFmtId="10" fontId="0" fillId="0" borderId="0" xfId="0" applyNumberFormat="1"/>
    <xf numFmtId="3" fontId="2" fillId="0" borderId="0" xfId="0" applyNumberFormat="1" applyFont="1"/>
    <xf numFmtId="0" fontId="7" fillId="3" borderId="0" xfId="0" applyFont="1" applyFill="1"/>
    <xf numFmtId="0" fontId="8" fillId="0" borderId="0" xfId="0" applyFont="1"/>
    <xf numFmtId="10" fontId="0" fillId="9" borderId="0" xfId="0" applyNumberFormat="1" applyFill="1"/>
    <xf numFmtId="0" fontId="0" fillId="9" borderId="0" xfId="0" applyFill="1"/>
    <xf numFmtId="0" fontId="7" fillId="4" borderId="0" xfId="0" applyFont="1" applyFill="1"/>
    <xf numFmtId="3" fontId="0" fillId="9" borderId="0" xfId="0" applyNumberFormat="1" applyFill="1"/>
    <xf numFmtId="0" fontId="7" fillId="5" borderId="0" xfId="0" applyFont="1" applyFill="1"/>
    <xf numFmtId="164" fontId="0" fillId="9" borderId="0" xfId="0" applyNumberFormat="1" applyFill="1"/>
    <xf numFmtId="3" fontId="0" fillId="8" borderId="0" xfId="0" applyNumberFormat="1" applyFill="1"/>
    <xf numFmtId="3" fontId="2" fillId="8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11" borderId="1" xfId="0" applyFont="1" applyFill="1" applyBorder="1" applyAlignment="1">
      <alignment horizontal="center"/>
    </xf>
    <xf numFmtId="0" fontId="0" fillId="11" borderId="2" xfId="0" applyFill="1" applyBorder="1"/>
    <xf numFmtId="0" fontId="2" fillId="0" borderId="3" xfId="0" applyFont="1" applyBorder="1"/>
    <xf numFmtId="0" fontId="2" fillId="0" borderId="5" xfId="0" applyFont="1" applyBorder="1"/>
    <xf numFmtId="0" fontId="2" fillId="11" borderId="1" xfId="0" applyFont="1" applyFill="1" applyBorder="1"/>
    <xf numFmtId="0" fontId="0" fillId="11" borderId="2" xfId="0" applyFill="1" applyBorder="1"/>
    <xf numFmtId="0" fontId="0" fillId="8" borderId="4" xfId="0" applyFill="1" applyBorder="1"/>
    <xf numFmtId="0" fontId="0" fillId="8" borderId="6" xfId="0" applyFill="1" applyBorder="1"/>
    <xf numFmtId="0" fontId="2" fillId="8" borderId="3" xfId="0" applyFont="1" applyFill="1" applyBorder="1"/>
    <xf numFmtId="0" fontId="2" fillId="8" borderId="5" xfId="0" applyFont="1" applyFill="1" applyBorder="1"/>
    <xf numFmtId="43" fontId="12" fillId="10" borderId="4" xfId="1" applyNumberFormat="1" applyFont="1" applyFill="1" applyBorder="1"/>
    <xf numFmtId="43" fontId="12" fillId="10" borderId="4" xfId="0" applyNumberFormat="1" applyFont="1" applyFill="1" applyBorder="1"/>
    <xf numFmtId="43" fontId="12" fillId="10" borderId="6" xfId="0" applyNumberFormat="1" applyFont="1" applyFill="1" applyBorder="1"/>
    <xf numFmtId="10" fontId="12" fillId="10" borderId="4" xfId="0" applyNumberFormat="1" applyFont="1" applyFill="1" applyBorder="1"/>
  </cellXfs>
  <cellStyles count="2">
    <cellStyle name="Comma" xfId="1" builtinId="3"/>
    <cellStyle name="Normal" xfId="0" builtinId="0"/>
  </cellStyles>
  <dxfs count="3">
    <dxf>
      <font>
        <b/>
        <i val="0"/>
      </font>
      <fill>
        <patternFill patternType="solid">
          <fgColor indexed="64"/>
          <bgColor rgb="FFF4B08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FCFFD0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Interest Rate Scenarios (Monthly, CIR Model)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'CIR Scenarios'!$A$3:$A$63</c:f>
              <c:numCache>
                <c:formatCode>0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1-6444-BAF2-A18F71EF307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'CIR Scenarios'!$B$3:$B$63</c:f>
              <c:numCache>
                <c:formatCode>0.0000%</c:formatCode>
                <c:ptCount val="61"/>
                <c:pt idx="0">
                  <c:v>0.04</c:v>
                </c:pt>
                <c:pt idx="1">
                  <c:v>3.6664229300326118E-2</c:v>
                </c:pt>
                <c:pt idx="2">
                  <c:v>3.4322269717447985E-2</c:v>
                </c:pt>
                <c:pt idx="3">
                  <c:v>3.4482850787575146E-2</c:v>
                </c:pt>
                <c:pt idx="4">
                  <c:v>3.2157702703643119E-2</c:v>
                </c:pt>
                <c:pt idx="5">
                  <c:v>2.6269905877654681E-2</c:v>
                </c:pt>
                <c:pt idx="6">
                  <c:v>3.256260256677003E-2</c:v>
                </c:pt>
                <c:pt idx="7">
                  <c:v>3.5455093315299405E-2</c:v>
                </c:pt>
                <c:pt idx="8">
                  <c:v>3.615392139331116E-2</c:v>
                </c:pt>
                <c:pt idx="9">
                  <c:v>3.5422735090922454E-2</c:v>
                </c:pt>
                <c:pt idx="10">
                  <c:v>3.418995779085688E-2</c:v>
                </c:pt>
                <c:pt idx="11">
                  <c:v>3.2146135121625265E-2</c:v>
                </c:pt>
                <c:pt idx="12">
                  <c:v>3.9260774342249428E-2</c:v>
                </c:pt>
                <c:pt idx="13">
                  <c:v>3.8577929858056074E-2</c:v>
                </c:pt>
                <c:pt idx="14">
                  <c:v>3.7865215282652485E-2</c:v>
                </c:pt>
                <c:pt idx="15">
                  <c:v>3.7874638097358512E-2</c:v>
                </c:pt>
                <c:pt idx="16">
                  <c:v>3.4740070196410289E-2</c:v>
                </c:pt>
                <c:pt idx="17">
                  <c:v>3.5462381031597788E-2</c:v>
                </c:pt>
                <c:pt idx="18">
                  <c:v>3.550831190030538E-2</c:v>
                </c:pt>
                <c:pt idx="19">
                  <c:v>3.4760265062940207E-2</c:v>
                </c:pt>
                <c:pt idx="20">
                  <c:v>2.9643890559975794E-2</c:v>
                </c:pt>
                <c:pt idx="21">
                  <c:v>2.9835243551974137E-2</c:v>
                </c:pt>
                <c:pt idx="22">
                  <c:v>2.9744279722308007E-2</c:v>
                </c:pt>
                <c:pt idx="23">
                  <c:v>2.8250741450775503E-2</c:v>
                </c:pt>
                <c:pt idx="24">
                  <c:v>2.6814281943565985E-2</c:v>
                </c:pt>
                <c:pt idx="25">
                  <c:v>2.8818467043112507E-2</c:v>
                </c:pt>
                <c:pt idx="26">
                  <c:v>2.9086930220460175E-2</c:v>
                </c:pt>
                <c:pt idx="27">
                  <c:v>3.118749144868075E-2</c:v>
                </c:pt>
                <c:pt idx="28">
                  <c:v>3.1390262597544918E-2</c:v>
                </c:pt>
                <c:pt idx="29">
                  <c:v>3.4260350168471794E-2</c:v>
                </c:pt>
                <c:pt idx="30">
                  <c:v>2.8942228115176886E-2</c:v>
                </c:pt>
                <c:pt idx="31">
                  <c:v>3.3960965052349606E-2</c:v>
                </c:pt>
                <c:pt idx="32">
                  <c:v>3.4945589673863027E-2</c:v>
                </c:pt>
                <c:pt idx="33">
                  <c:v>3.5054441291116741E-2</c:v>
                </c:pt>
                <c:pt idx="34">
                  <c:v>3.3359564488474838E-2</c:v>
                </c:pt>
                <c:pt idx="35">
                  <c:v>3.6997817954273787E-2</c:v>
                </c:pt>
                <c:pt idx="36">
                  <c:v>3.4798013557281404E-2</c:v>
                </c:pt>
                <c:pt idx="37">
                  <c:v>3.7330557733343164E-2</c:v>
                </c:pt>
                <c:pt idx="38">
                  <c:v>3.7749459894273946E-2</c:v>
                </c:pt>
                <c:pt idx="39">
                  <c:v>3.356929751088375E-2</c:v>
                </c:pt>
                <c:pt idx="40">
                  <c:v>3.2557108679251552E-2</c:v>
                </c:pt>
                <c:pt idx="41">
                  <c:v>3.2879206577254454E-2</c:v>
                </c:pt>
                <c:pt idx="42">
                  <c:v>3.630808927189632E-2</c:v>
                </c:pt>
                <c:pt idx="43">
                  <c:v>3.8868355521837254E-2</c:v>
                </c:pt>
                <c:pt idx="44">
                  <c:v>3.4351580719838529E-2</c:v>
                </c:pt>
                <c:pt idx="45">
                  <c:v>3.3196887783389355E-2</c:v>
                </c:pt>
                <c:pt idx="46">
                  <c:v>3.345312109723881E-2</c:v>
                </c:pt>
                <c:pt idx="47">
                  <c:v>3.7390639167156049E-2</c:v>
                </c:pt>
                <c:pt idx="48">
                  <c:v>4.4414967060809239E-2</c:v>
                </c:pt>
                <c:pt idx="49">
                  <c:v>4.7744115764066772E-2</c:v>
                </c:pt>
                <c:pt idx="50">
                  <c:v>4.687557803681186E-2</c:v>
                </c:pt>
                <c:pt idx="51">
                  <c:v>4.4890138375479109E-2</c:v>
                </c:pt>
                <c:pt idx="52">
                  <c:v>4.1017713400330481E-2</c:v>
                </c:pt>
                <c:pt idx="53">
                  <c:v>3.337118719630331E-2</c:v>
                </c:pt>
                <c:pt idx="54">
                  <c:v>2.9869656361255732E-2</c:v>
                </c:pt>
                <c:pt idx="55">
                  <c:v>2.7977667740431096E-2</c:v>
                </c:pt>
                <c:pt idx="56">
                  <c:v>2.6454183188763251E-2</c:v>
                </c:pt>
                <c:pt idx="57">
                  <c:v>2.2988957956463094E-2</c:v>
                </c:pt>
                <c:pt idx="58">
                  <c:v>2.7764773173612641E-2</c:v>
                </c:pt>
                <c:pt idx="59">
                  <c:v>3.0796367350648259E-2</c:v>
                </c:pt>
                <c:pt idx="60">
                  <c:v>2.6636707093453844E-2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1-6444-BAF2-A18F71EF307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'CIR Scenarios'!$C$3:$C$63</c:f>
              <c:numCache>
                <c:formatCode>0.0000%</c:formatCode>
                <c:ptCount val="61"/>
                <c:pt idx="0">
                  <c:v>0.04</c:v>
                </c:pt>
                <c:pt idx="1">
                  <c:v>4.0846403562909778E-2</c:v>
                </c:pt>
                <c:pt idx="2">
                  <c:v>3.5293290338028013E-2</c:v>
                </c:pt>
                <c:pt idx="3">
                  <c:v>3.4633435490926144E-2</c:v>
                </c:pt>
                <c:pt idx="4">
                  <c:v>3.7516640746655866E-2</c:v>
                </c:pt>
                <c:pt idx="5">
                  <c:v>3.5895069221405417E-2</c:v>
                </c:pt>
                <c:pt idx="6">
                  <c:v>3.4431207539692171E-2</c:v>
                </c:pt>
                <c:pt idx="7">
                  <c:v>3.0378003539014476E-2</c:v>
                </c:pt>
                <c:pt idx="8">
                  <c:v>2.9033603275364479E-2</c:v>
                </c:pt>
                <c:pt idx="9">
                  <c:v>2.5634682250732579E-2</c:v>
                </c:pt>
                <c:pt idx="10">
                  <c:v>2.820193249990495E-2</c:v>
                </c:pt>
                <c:pt idx="11">
                  <c:v>2.6242812092498888E-2</c:v>
                </c:pt>
                <c:pt idx="12">
                  <c:v>2.3164526888752861E-2</c:v>
                </c:pt>
                <c:pt idx="13">
                  <c:v>2.5300778769959963E-2</c:v>
                </c:pt>
                <c:pt idx="14">
                  <c:v>2.1753355492637905E-2</c:v>
                </c:pt>
                <c:pt idx="15">
                  <c:v>2.3791844593583123E-2</c:v>
                </c:pt>
                <c:pt idx="16">
                  <c:v>2.4127365550685235E-2</c:v>
                </c:pt>
                <c:pt idx="17">
                  <c:v>2.3602379961726792E-2</c:v>
                </c:pt>
                <c:pt idx="18">
                  <c:v>2.508199554020208E-2</c:v>
                </c:pt>
                <c:pt idx="19">
                  <c:v>2.4496894797000821E-2</c:v>
                </c:pt>
                <c:pt idx="20">
                  <c:v>2.1696374411696643E-2</c:v>
                </c:pt>
                <c:pt idx="21">
                  <c:v>2.008844143867701E-2</c:v>
                </c:pt>
                <c:pt idx="22">
                  <c:v>1.7022371508165494E-2</c:v>
                </c:pt>
                <c:pt idx="23">
                  <c:v>1.6394347643612656E-2</c:v>
                </c:pt>
                <c:pt idx="24">
                  <c:v>1.5718713225895863E-2</c:v>
                </c:pt>
                <c:pt idx="25">
                  <c:v>1.9114285389020665E-2</c:v>
                </c:pt>
                <c:pt idx="26">
                  <c:v>1.49149780364625E-2</c:v>
                </c:pt>
                <c:pt idx="27">
                  <c:v>1.5363179733190855E-2</c:v>
                </c:pt>
                <c:pt idx="28">
                  <c:v>1.6098089778959157E-2</c:v>
                </c:pt>
                <c:pt idx="29">
                  <c:v>1.9429711676990341E-2</c:v>
                </c:pt>
                <c:pt idx="30">
                  <c:v>2.1065545130921938E-2</c:v>
                </c:pt>
                <c:pt idx="31">
                  <c:v>1.8423632899767371E-2</c:v>
                </c:pt>
                <c:pt idx="32">
                  <c:v>2.2163649429873731E-2</c:v>
                </c:pt>
                <c:pt idx="33">
                  <c:v>2.0996109194026478E-2</c:v>
                </c:pt>
                <c:pt idx="34">
                  <c:v>2.008457585298528E-2</c:v>
                </c:pt>
                <c:pt idx="35">
                  <c:v>1.8292028882808238E-2</c:v>
                </c:pt>
                <c:pt idx="36">
                  <c:v>1.641982886307794E-2</c:v>
                </c:pt>
                <c:pt idx="37">
                  <c:v>1.8953163651813994E-2</c:v>
                </c:pt>
                <c:pt idx="38">
                  <c:v>1.9868050503925701E-2</c:v>
                </c:pt>
                <c:pt idx="39">
                  <c:v>2.0501164384826406E-2</c:v>
                </c:pt>
                <c:pt idx="40">
                  <c:v>1.8786923377584374E-2</c:v>
                </c:pt>
                <c:pt idx="41">
                  <c:v>2.1551133058668272E-2</c:v>
                </c:pt>
                <c:pt idx="42">
                  <c:v>2.645262805364209E-2</c:v>
                </c:pt>
                <c:pt idx="43">
                  <c:v>2.4947180898850129E-2</c:v>
                </c:pt>
                <c:pt idx="44">
                  <c:v>2.6369860969001215E-2</c:v>
                </c:pt>
                <c:pt idx="45">
                  <c:v>2.111463524426458E-2</c:v>
                </c:pt>
                <c:pt idx="46">
                  <c:v>2.0780824729121104E-2</c:v>
                </c:pt>
                <c:pt idx="47">
                  <c:v>1.8732562246371695E-2</c:v>
                </c:pt>
                <c:pt idx="48">
                  <c:v>1.6332277581073473E-2</c:v>
                </c:pt>
                <c:pt idx="49">
                  <c:v>1.8242763597471852E-2</c:v>
                </c:pt>
                <c:pt idx="50">
                  <c:v>1.8107407847639142E-2</c:v>
                </c:pt>
                <c:pt idx="51">
                  <c:v>1.8163652149534217E-2</c:v>
                </c:pt>
                <c:pt idx="52">
                  <c:v>1.9810612153847402E-2</c:v>
                </c:pt>
                <c:pt idx="53">
                  <c:v>2.0089020348169846E-2</c:v>
                </c:pt>
                <c:pt idx="54">
                  <c:v>1.8829453760018839E-2</c:v>
                </c:pt>
                <c:pt idx="55">
                  <c:v>1.9598140853913211E-2</c:v>
                </c:pt>
                <c:pt idx="56">
                  <c:v>2.174124721472484E-2</c:v>
                </c:pt>
                <c:pt idx="57">
                  <c:v>1.7846006235431835E-2</c:v>
                </c:pt>
                <c:pt idx="58">
                  <c:v>1.9556951873036542E-2</c:v>
                </c:pt>
                <c:pt idx="59">
                  <c:v>2.5939220318733681E-2</c:v>
                </c:pt>
                <c:pt idx="60">
                  <c:v>2.9543432585561785E-2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1-6444-BAF2-A18F71EF307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'CIR Scenarios'!$D$3:$D$63</c:f>
              <c:numCache>
                <c:formatCode>0.0000%</c:formatCode>
                <c:ptCount val="61"/>
                <c:pt idx="0">
                  <c:v>0.04</c:v>
                </c:pt>
                <c:pt idx="1">
                  <c:v>4.142292793464547E-2</c:v>
                </c:pt>
                <c:pt idx="2">
                  <c:v>4.2446619704538537E-2</c:v>
                </c:pt>
                <c:pt idx="3">
                  <c:v>4.5088168733857202E-2</c:v>
                </c:pt>
                <c:pt idx="4">
                  <c:v>4.6095797957056477E-2</c:v>
                </c:pt>
                <c:pt idx="5">
                  <c:v>5.2716665699283273E-2</c:v>
                </c:pt>
                <c:pt idx="6">
                  <c:v>4.8982490651529875E-2</c:v>
                </c:pt>
                <c:pt idx="7">
                  <c:v>4.6366177686639615E-2</c:v>
                </c:pt>
                <c:pt idx="8">
                  <c:v>4.567857370323556E-2</c:v>
                </c:pt>
                <c:pt idx="9">
                  <c:v>4.6626150751417419E-2</c:v>
                </c:pt>
                <c:pt idx="10">
                  <c:v>4.7764170587942363E-2</c:v>
                </c:pt>
                <c:pt idx="11">
                  <c:v>5.0203219629915051E-2</c:v>
                </c:pt>
                <c:pt idx="12">
                  <c:v>4.573477225195656E-2</c:v>
                </c:pt>
                <c:pt idx="13">
                  <c:v>4.2163040500328951E-2</c:v>
                </c:pt>
                <c:pt idx="14">
                  <c:v>3.5609705946663246E-2</c:v>
                </c:pt>
                <c:pt idx="15">
                  <c:v>3.456050550122549E-2</c:v>
                </c:pt>
                <c:pt idx="16">
                  <c:v>3.5643662478421594E-2</c:v>
                </c:pt>
                <c:pt idx="17">
                  <c:v>3.6125338522203308E-2</c:v>
                </c:pt>
                <c:pt idx="18">
                  <c:v>3.6049353913238019E-2</c:v>
                </c:pt>
                <c:pt idx="19">
                  <c:v>3.4627563771172633E-2</c:v>
                </c:pt>
                <c:pt idx="20">
                  <c:v>2.9432711147367695E-2</c:v>
                </c:pt>
                <c:pt idx="21">
                  <c:v>3.0460754399305807E-2</c:v>
                </c:pt>
                <c:pt idx="22">
                  <c:v>3.1655077570580427E-2</c:v>
                </c:pt>
                <c:pt idx="23">
                  <c:v>3.219223233553186E-2</c:v>
                </c:pt>
                <c:pt idx="24">
                  <c:v>2.5313091746908149E-2</c:v>
                </c:pt>
                <c:pt idx="25">
                  <c:v>2.1727941338636626E-2</c:v>
                </c:pt>
                <c:pt idx="26">
                  <c:v>2.2478579528469385E-2</c:v>
                </c:pt>
                <c:pt idx="27">
                  <c:v>2.6405726710367734E-2</c:v>
                </c:pt>
                <c:pt idx="28">
                  <c:v>2.8827131693042345E-2</c:v>
                </c:pt>
                <c:pt idx="29">
                  <c:v>2.9075014782417554E-2</c:v>
                </c:pt>
                <c:pt idx="30">
                  <c:v>2.861158661231445E-2</c:v>
                </c:pt>
                <c:pt idx="31">
                  <c:v>2.9566190735201274E-2</c:v>
                </c:pt>
                <c:pt idx="32">
                  <c:v>3.0913966357979845E-2</c:v>
                </c:pt>
                <c:pt idx="33">
                  <c:v>2.9127348981574534E-2</c:v>
                </c:pt>
                <c:pt idx="34">
                  <c:v>2.4293224863591034E-2</c:v>
                </c:pt>
                <c:pt idx="35">
                  <c:v>2.0134796639967003E-2</c:v>
                </c:pt>
                <c:pt idx="36">
                  <c:v>2.5392506079282385E-2</c:v>
                </c:pt>
                <c:pt idx="37">
                  <c:v>2.618628512306757E-2</c:v>
                </c:pt>
                <c:pt idx="38">
                  <c:v>2.4123452087525424E-2</c:v>
                </c:pt>
                <c:pt idx="39">
                  <c:v>2.7988548141463915E-2</c:v>
                </c:pt>
                <c:pt idx="40">
                  <c:v>2.7283089947106157E-2</c:v>
                </c:pt>
                <c:pt idx="41">
                  <c:v>2.4518105104399189E-2</c:v>
                </c:pt>
                <c:pt idx="42">
                  <c:v>2.3085903052500259E-2</c:v>
                </c:pt>
                <c:pt idx="43">
                  <c:v>2.4095897129729593E-2</c:v>
                </c:pt>
                <c:pt idx="44">
                  <c:v>2.877659535482998E-2</c:v>
                </c:pt>
                <c:pt idx="45">
                  <c:v>2.7498744015916253E-2</c:v>
                </c:pt>
                <c:pt idx="46">
                  <c:v>2.9791951153238655E-2</c:v>
                </c:pt>
                <c:pt idx="47">
                  <c:v>3.06601954922993E-2</c:v>
                </c:pt>
                <c:pt idx="48">
                  <c:v>3.1285760105203855E-2</c:v>
                </c:pt>
                <c:pt idx="49">
                  <c:v>2.5754368726259531E-2</c:v>
                </c:pt>
                <c:pt idx="50">
                  <c:v>2.768334549775844E-2</c:v>
                </c:pt>
                <c:pt idx="51">
                  <c:v>3.0600884011127726E-2</c:v>
                </c:pt>
                <c:pt idx="52">
                  <c:v>3.1311370634727345E-2</c:v>
                </c:pt>
                <c:pt idx="53">
                  <c:v>3.3292465857328993E-2</c:v>
                </c:pt>
                <c:pt idx="54">
                  <c:v>3.5347447042419683E-2</c:v>
                </c:pt>
                <c:pt idx="55">
                  <c:v>3.3427265913497067E-2</c:v>
                </c:pt>
                <c:pt idx="56">
                  <c:v>3.1596499440704716E-2</c:v>
                </c:pt>
                <c:pt idx="57">
                  <c:v>3.1294702696878687E-2</c:v>
                </c:pt>
                <c:pt idx="58">
                  <c:v>3.6782475284046538E-2</c:v>
                </c:pt>
                <c:pt idx="59">
                  <c:v>4.1363781880868339E-2</c:v>
                </c:pt>
                <c:pt idx="60">
                  <c:v>4.3237277093778552E-2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D1-6444-BAF2-A18F71EF307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'CIR Scenarios'!$E$3:$E$63</c:f>
              <c:numCache>
                <c:formatCode>0.0000%</c:formatCode>
                <c:ptCount val="61"/>
                <c:pt idx="0">
                  <c:v>0.04</c:v>
                </c:pt>
                <c:pt idx="1">
                  <c:v>4.0313322650764906E-2</c:v>
                </c:pt>
                <c:pt idx="2">
                  <c:v>3.2093420996597649E-2</c:v>
                </c:pt>
                <c:pt idx="3">
                  <c:v>3.4011047634875231E-2</c:v>
                </c:pt>
                <c:pt idx="4">
                  <c:v>3.1825098604768787E-2</c:v>
                </c:pt>
                <c:pt idx="5">
                  <c:v>3.7775112216193105E-2</c:v>
                </c:pt>
                <c:pt idx="6">
                  <c:v>4.2491423586801851E-2</c:v>
                </c:pt>
                <c:pt idx="7">
                  <c:v>4.1205853780759985E-2</c:v>
                </c:pt>
                <c:pt idx="8">
                  <c:v>4.1569419152765713E-2</c:v>
                </c:pt>
                <c:pt idx="9">
                  <c:v>4.0844584861951874E-2</c:v>
                </c:pt>
                <c:pt idx="10">
                  <c:v>4.6533012147461569E-2</c:v>
                </c:pt>
                <c:pt idx="11">
                  <c:v>5.2103384692475413E-2</c:v>
                </c:pt>
                <c:pt idx="12">
                  <c:v>5.4260731375588386E-2</c:v>
                </c:pt>
                <c:pt idx="13">
                  <c:v>4.8874952398353523E-2</c:v>
                </c:pt>
                <c:pt idx="14">
                  <c:v>5.0220222023023557E-2</c:v>
                </c:pt>
                <c:pt idx="15">
                  <c:v>5.2799296025822562E-2</c:v>
                </c:pt>
                <c:pt idx="16">
                  <c:v>5.2561865187285173E-2</c:v>
                </c:pt>
                <c:pt idx="17">
                  <c:v>5.3127032019945182E-2</c:v>
                </c:pt>
                <c:pt idx="18">
                  <c:v>5.1611756817657499E-2</c:v>
                </c:pt>
                <c:pt idx="19">
                  <c:v>4.877368182849013E-2</c:v>
                </c:pt>
                <c:pt idx="20">
                  <c:v>4.9595700246333488E-2</c:v>
                </c:pt>
                <c:pt idx="21">
                  <c:v>5.1622897571439057E-2</c:v>
                </c:pt>
                <c:pt idx="22">
                  <c:v>5.1745755430734203E-2</c:v>
                </c:pt>
                <c:pt idx="23">
                  <c:v>4.9470182235675605E-2</c:v>
                </c:pt>
                <c:pt idx="24">
                  <c:v>4.9980893135503912E-2</c:v>
                </c:pt>
                <c:pt idx="25">
                  <c:v>5.2393806057537295E-2</c:v>
                </c:pt>
                <c:pt idx="26">
                  <c:v>5.102988373892671E-2</c:v>
                </c:pt>
                <c:pt idx="27">
                  <c:v>5.0611900007857466E-2</c:v>
                </c:pt>
                <c:pt idx="28">
                  <c:v>4.8656109451147574E-2</c:v>
                </c:pt>
                <c:pt idx="29">
                  <c:v>4.9616906272623718E-2</c:v>
                </c:pt>
                <c:pt idx="30">
                  <c:v>4.8596526934331558E-2</c:v>
                </c:pt>
                <c:pt idx="31">
                  <c:v>4.882422974250817E-2</c:v>
                </c:pt>
                <c:pt idx="32">
                  <c:v>4.8697549594626126E-2</c:v>
                </c:pt>
                <c:pt idx="33">
                  <c:v>4.8624716139469518E-2</c:v>
                </c:pt>
                <c:pt idx="34">
                  <c:v>5.230890072203364E-2</c:v>
                </c:pt>
                <c:pt idx="35">
                  <c:v>5.5382686795907528E-2</c:v>
                </c:pt>
                <c:pt idx="36">
                  <c:v>5.9689927237526363E-2</c:v>
                </c:pt>
                <c:pt idx="37">
                  <c:v>5.8989854137698354E-2</c:v>
                </c:pt>
                <c:pt idx="38">
                  <c:v>5.7139351477812579E-2</c:v>
                </c:pt>
                <c:pt idx="39">
                  <c:v>6.3282214432390405E-2</c:v>
                </c:pt>
                <c:pt idx="40">
                  <c:v>6.1466584064759709E-2</c:v>
                </c:pt>
                <c:pt idx="41">
                  <c:v>5.8251235472874488E-2</c:v>
                </c:pt>
                <c:pt idx="42">
                  <c:v>5.7545338738178263E-2</c:v>
                </c:pt>
                <c:pt idx="43">
                  <c:v>6.1780809315517181E-2</c:v>
                </c:pt>
                <c:pt idx="44">
                  <c:v>6.1214032154723319E-2</c:v>
                </c:pt>
                <c:pt idx="45">
                  <c:v>5.7878980595819647E-2</c:v>
                </c:pt>
                <c:pt idx="46">
                  <c:v>5.2548648204031809E-2</c:v>
                </c:pt>
                <c:pt idx="47">
                  <c:v>5.7632836528283271E-2</c:v>
                </c:pt>
                <c:pt idx="48">
                  <c:v>6.1999185443486794E-2</c:v>
                </c:pt>
                <c:pt idx="49">
                  <c:v>6.089828178287738E-2</c:v>
                </c:pt>
                <c:pt idx="50">
                  <c:v>5.726246483576105E-2</c:v>
                </c:pt>
                <c:pt idx="51">
                  <c:v>6.1965974557321127E-2</c:v>
                </c:pt>
                <c:pt idx="52">
                  <c:v>6.472270542977536E-2</c:v>
                </c:pt>
                <c:pt idx="53">
                  <c:v>6.6254460383028707E-2</c:v>
                </c:pt>
                <c:pt idx="54">
                  <c:v>5.9952404990466002E-2</c:v>
                </c:pt>
                <c:pt idx="55">
                  <c:v>5.613505327180203E-2</c:v>
                </c:pt>
                <c:pt idx="56">
                  <c:v>5.1481172610248808E-2</c:v>
                </c:pt>
                <c:pt idx="57">
                  <c:v>5.1737771663681195E-2</c:v>
                </c:pt>
                <c:pt idx="58">
                  <c:v>5.4798433808799785E-2</c:v>
                </c:pt>
                <c:pt idx="59">
                  <c:v>6.0727512587192112E-2</c:v>
                </c:pt>
                <c:pt idx="60">
                  <c:v>6.1564181225138973E-2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D1-6444-BAF2-A18F71EF307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'CIR Scenarios'!$F$3:$F$63</c:f>
              <c:numCache>
                <c:formatCode>0.0000%</c:formatCode>
                <c:ptCount val="61"/>
                <c:pt idx="0">
                  <c:v>0.04</c:v>
                </c:pt>
                <c:pt idx="1">
                  <c:v>4.4063892187793906E-2</c:v>
                </c:pt>
                <c:pt idx="2">
                  <c:v>4.5839077868128283E-2</c:v>
                </c:pt>
                <c:pt idx="3">
                  <c:v>4.2989624314160001E-2</c:v>
                </c:pt>
                <c:pt idx="4">
                  <c:v>4.4718508874330945E-2</c:v>
                </c:pt>
                <c:pt idx="5">
                  <c:v>4.8247918481347789E-2</c:v>
                </c:pt>
                <c:pt idx="6">
                  <c:v>4.3928057776459903E-2</c:v>
                </c:pt>
                <c:pt idx="7">
                  <c:v>4.3806080167477557E-2</c:v>
                </c:pt>
                <c:pt idx="8">
                  <c:v>4.0005524374941641E-2</c:v>
                </c:pt>
                <c:pt idx="9">
                  <c:v>4.1237196489654127E-2</c:v>
                </c:pt>
                <c:pt idx="10">
                  <c:v>4.1636059093834193E-2</c:v>
                </c:pt>
                <c:pt idx="11">
                  <c:v>4.0755509455870212E-2</c:v>
                </c:pt>
                <c:pt idx="12">
                  <c:v>4.3781025176534982E-2</c:v>
                </c:pt>
                <c:pt idx="13">
                  <c:v>3.6846018175805677E-2</c:v>
                </c:pt>
                <c:pt idx="14">
                  <c:v>3.4187231694886626E-2</c:v>
                </c:pt>
                <c:pt idx="15">
                  <c:v>3.2397137207046928E-2</c:v>
                </c:pt>
                <c:pt idx="16">
                  <c:v>3.4339790441538023E-2</c:v>
                </c:pt>
                <c:pt idx="17">
                  <c:v>3.8310641509645471E-2</c:v>
                </c:pt>
                <c:pt idx="18">
                  <c:v>4.0376029884542683E-2</c:v>
                </c:pt>
                <c:pt idx="19">
                  <c:v>4.0092396334490271E-2</c:v>
                </c:pt>
                <c:pt idx="20">
                  <c:v>3.4926057655322154E-2</c:v>
                </c:pt>
                <c:pt idx="21">
                  <c:v>3.9447263140973757E-2</c:v>
                </c:pt>
                <c:pt idx="22">
                  <c:v>3.960439715604145E-2</c:v>
                </c:pt>
                <c:pt idx="23">
                  <c:v>4.3329004498802122E-2</c:v>
                </c:pt>
                <c:pt idx="24">
                  <c:v>4.9967831233533086E-2</c:v>
                </c:pt>
                <c:pt idx="25">
                  <c:v>4.7399884080080647E-2</c:v>
                </c:pt>
                <c:pt idx="26">
                  <c:v>4.5790095219082824E-2</c:v>
                </c:pt>
                <c:pt idx="27">
                  <c:v>4.4893018392054826E-2</c:v>
                </c:pt>
                <c:pt idx="28">
                  <c:v>4.5682438790129766E-2</c:v>
                </c:pt>
                <c:pt idx="29">
                  <c:v>3.8647064184014895E-2</c:v>
                </c:pt>
                <c:pt idx="30">
                  <c:v>3.5090572474918605E-2</c:v>
                </c:pt>
                <c:pt idx="31">
                  <c:v>3.4581986328681071E-2</c:v>
                </c:pt>
                <c:pt idx="32">
                  <c:v>3.5559473939810952E-2</c:v>
                </c:pt>
                <c:pt idx="33">
                  <c:v>3.6838989779325072E-2</c:v>
                </c:pt>
                <c:pt idx="34">
                  <c:v>3.1654346781286952E-2</c:v>
                </c:pt>
                <c:pt idx="35">
                  <c:v>3.1147382833379665E-2</c:v>
                </c:pt>
                <c:pt idx="36">
                  <c:v>2.733621767696957E-2</c:v>
                </c:pt>
                <c:pt idx="37">
                  <c:v>2.5143612839954772E-2</c:v>
                </c:pt>
                <c:pt idx="38">
                  <c:v>2.3960287485933651E-2</c:v>
                </c:pt>
                <c:pt idx="39">
                  <c:v>2.7180669350715524E-2</c:v>
                </c:pt>
                <c:pt idx="40">
                  <c:v>2.8801822978072128E-2</c:v>
                </c:pt>
                <c:pt idx="41">
                  <c:v>2.7998177194374609E-2</c:v>
                </c:pt>
                <c:pt idx="42">
                  <c:v>3.072442276269767E-2</c:v>
                </c:pt>
                <c:pt idx="43">
                  <c:v>3.2557652994496949E-2</c:v>
                </c:pt>
                <c:pt idx="44">
                  <c:v>3.0854653829132505E-2</c:v>
                </c:pt>
                <c:pt idx="45">
                  <c:v>2.9727524664993323E-2</c:v>
                </c:pt>
                <c:pt idx="46">
                  <c:v>2.536691799567142E-2</c:v>
                </c:pt>
                <c:pt idx="47">
                  <c:v>2.8293660641317293E-2</c:v>
                </c:pt>
                <c:pt idx="48">
                  <c:v>3.1383216421740426E-2</c:v>
                </c:pt>
                <c:pt idx="49">
                  <c:v>3.1815583246932011E-2</c:v>
                </c:pt>
                <c:pt idx="50">
                  <c:v>3.3451433338657188E-2</c:v>
                </c:pt>
                <c:pt idx="51">
                  <c:v>3.3379522194143696E-2</c:v>
                </c:pt>
                <c:pt idx="52">
                  <c:v>2.9633841761771376E-2</c:v>
                </c:pt>
                <c:pt idx="53">
                  <c:v>3.0545120124817152E-2</c:v>
                </c:pt>
                <c:pt idx="54">
                  <c:v>3.0664765299118293E-2</c:v>
                </c:pt>
                <c:pt idx="55">
                  <c:v>3.3682563674597252E-2</c:v>
                </c:pt>
                <c:pt idx="56">
                  <c:v>3.4984076979001265E-2</c:v>
                </c:pt>
                <c:pt idx="57">
                  <c:v>3.9102652071608429E-2</c:v>
                </c:pt>
                <c:pt idx="58">
                  <c:v>4.1578258428301818E-2</c:v>
                </c:pt>
                <c:pt idx="59">
                  <c:v>4.5757673209680071E-2</c:v>
                </c:pt>
                <c:pt idx="60">
                  <c:v>4.2354835169730182E-2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D1-6444-BAF2-A18F71EF307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Scenarios'!$G$3:$G$63</c:f>
              <c:numCache>
                <c:formatCode>0.0000%</c:formatCode>
                <c:ptCount val="61"/>
                <c:pt idx="0">
                  <c:v>0.04</c:v>
                </c:pt>
                <c:pt idx="1">
                  <c:v>4.3935799571333027E-2</c:v>
                </c:pt>
                <c:pt idx="2">
                  <c:v>3.9312186315807261E-2</c:v>
                </c:pt>
                <c:pt idx="3">
                  <c:v>3.9395717680568244E-2</c:v>
                </c:pt>
                <c:pt idx="4">
                  <c:v>3.7462012193165521E-2</c:v>
                </c:pt>
                <c:pt idx="5">
                  <c:v>3.4077552857477121E-2</c:v>
                </c:pt>
                <c:pt idx="6">
                  <c:v>3.6530728055596505E-2</c:v>
                </c:pt>
                <c:pt idx="7">
                  <c:v>3.5565215973595292E-2</c:v>
                </c:pt>
                <c:pt idx="8">
                  <c:v>3.4305815793011056E-2</c:v>
                </c:pt>
                <c:pt idx="9">
                  <c:v>3.8021524227942666E-2</c:v>
                </c:pt>
                <c:pt idx="10">
                  <c:v>3.9567534130134148E-2</c:v>
                </c:pt>
                <c:pt idx="11">
                  <c:v>3.5166974242890767E-2</c:v>
                </c:pt>
                <c:pt idx="12">
                  <c:v>3.3391491030623922E-2</c:v>
                </c:pt>
                <c:pt idx="13">
                  <c:v>3.7030538608575692E-2</c:v>
                </c:pt>
                <c:pt idx="14">
                  <c:v>3.6700786340598451E-2</c:v>
                </c:pt>
                <c:pt idx="15">
                  <c:v>3.7184119948983518E-2</c:v>
                </c:pt>
                <c:pt idx="16">
                  <c:v>3.4589331962321841E-2</c:v>
                </c:pt>
                <c:pt idx="17">
                  <c:v>3.3950727582179638E-2</c:v>
                </c:pt>
                <c:pt idx="18">
                  <c:v>3.3826000955335264E-2</c:v>
                </c:pt>
                <c:pt idx="19">
                  <c:v>3.1295385413829119E-2</c:v>
                </c:pt>
                <c:pt idx="20">
                  <c:v>2.601472684492756E-2</c:v>
                </c:pt>
                <c:pt idx="21">
                  <c:v>2.7159280407808236E-2</c:v>
                </c:pt>
                <c:pt idx="22">
                  <c:v>2.2704938321312162E-2</c:v>
                </c:pt>
                <c:pt idx="23">
                  <c:v>2.8078448458212332E-2</c:v>
                </c:pt>
                <c:pt idx="24">
                  <c:v>3.1606984869357271E-2</c:v>
                </c:pt>
                <c:pt idx="25">
                  <c:v>3.4050134823305302E-2</c:v>
                </c:pt>
                <c:pt idx="26">
                  <c:v>3.4425820914784216E-2</c:v>
                </c:pt>
                <c:pt idx="27">
                  <c:v>3.5339272497951345E-2</c:v>
                </c:pt>
                <c:pt idx="28">
                  <c:v>3.526044329934222E-2</c:v>
                </c:pt>
                <c:pt idx="29">
                  <c:v>3.5933464916949716E-2</c:v>
                </c:pt>
                <c:pt idx="30">
                  <c:v>3.512017710332966E-2</c:v>
                </c:pt>
                <c:pt idx="31">
                  <c:v>3.4864564899318662E-2</c:v>
                </c:pt>
                <c:pt idx="32">
                  <c:v>3.7145859949343725E-2</c:v>
                </c:pt>
                <c:pt idx="33">
                  <c:v>3.527124197369446E-2</c:v>
                </c:pt>
                <c:pt idx="34">
                  <c:v>2.7664829044080255E-2</c:v>
                </c:pt>
                <c:pt idx="35">
                  <c:v>2.3858641364013878E-2</c:v>
                </c:pt>
                <c:pt idx="36">
                  <c:v>2.3292084652928837E-2</c:v>
                </c:pt>
                <c:pt idx="37">
                  <c:v>2.2905968630950062E-2</c:v>
                </c:pt>
                <c:pt idx="38">
                  <c:v>2.3917657710620644E-2</c:v>
                </c:pt>
                <c:pt idx="39">
                  <c:v>2.65581931384022E-2</c:v>
                </c:pt>
                <c:pt idx="40">
                  <c:v>2.6547942225293553E-2</c:v>
                </c:pt>
                <c:pt idx="41">
                  <c:v>2.3271038218337918E-2</c:v>
                </c:pt>
                <c:pt idx="42">
                  <c:v>2.133125418555477E-2</c:v>
                </c:pt>
                <c:pt idx="43">
                  <c:v>2.0883876662523743E-2</c:v>
                </c:pt>
                <c:pt idx="44">
                  <c:v>2.6510062968712934E-2</c:v>
                </c:pt>
                <c:pt idx="45">
                  <c:v>2.4753636897832051E-2</c:v>
                </c:pt>
                <c:pt idx="46">
                  <c:v>2.3681864733173623E-2</c:v>
                </c:pt>
                <c:pt idx="47">
                  <c:v>2.2261837224784822E-2</c:v>
                </c:pt>
                <c:pt idx="48">
                  <c:v>2.341356396308375E-2</c:v>
                </c:pt>
                <c:pt idx="49">
                  <c:v>2.4134045764688524E-2</c:v>
                </c:pt>
                <c:pt idx="50">
                  <c:v>2.5120876006768572E-2</c:v>
                </c:pt>
                <c:pt idx="51">
                  <c:v>2.9083882035793075E-2</c:v>
                </c:pt>
                <c:pt idx="52">
                  <c:v>3.172682196339225E-2</c:v>
                </c:pt>
                <c:pt idx="53">
                  <c:v>3.5377926141612476E-2</c:v>
                </c:pt>
                <c:pt idx="54">
                  <c:v>3.1309713866804284E-2</c:v>
                </c:pt>
                <c:pt idx="55">
                  <c:v>3.1574069228478038E-2</c:v>
                </c:pt>
                <c:pt idx="56">
                  <c:v>3.047760537133196E-2</c:v>
                </c:pt>
                <c:pt idx="57">
                  <c:v>2.551791625789699E-2</c:v>
                </c:pt>
                <c:pt idx="58">
                  <c:v>2.3658981327182398E-2</c:v>
                </c:pt>
                <c:pt idx="59">
                  <c:v>2.0398124027654965E-2</c:v>
                </c:pt>
                <c:pt idx="60">
                  <c:v>1.7418344723817352E-2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D1-6444-BAF2-A18F71EF307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Scenarios'!$H$3:$H$63</c:f>
              <c:numCache>
                <c:formatCode>0.0000%</c:formatCode>
                <c:ptCount val="61"/>
                <c:pt idx="0">
                  <c:v>0.04</c:v>
                </c:pt>
                <c:pt idx="1">
                  <c:v>3.7228923987842222E-2</c:v>
                </c:pt>
                <c:pt idx="2">
                  <c:v>3.9190128407095425E-2</c:v>
                </c:pt>
                <c:pt idx="3">
                  <c:v>3.8379308315467042E-2</c:v>
                </c:pt>
                <c:pt idx="4">
                  <c:v>3.8290709708973573E-2</c:v>
                </c:pt>
                <c:pt idx="5">
                  <c:v>3.9161010421929272E-2</c:v>
                </c:pt>
                <c:pt idx="6">
                  <c:v>3.9936858484102486E-2</c:v>
                </c:pt>
                <c:pt idx="7">
                  <c:v>4.0184452823446119E-2</c:v>
                </c:pt>
                <c:pt idx="8">
                  <c:v>4.0386198456221913E-2</c:v>
                </c:pt>
                <c:pt idx="9">
                  <c:v>3.6952826236294145E-2</c:v>
                </c:pt>
                <c:pt idx="10">
                  <c:v>4.1354394024129708E-2</c:v>
                </c:pt>
                <c:pt idx="11">
                  <c:v>3.802567066222598E-2</c:v>
                </c:pt>
                <c:pt idx="12">
                  <c:v>4.0467703218610061E-2</c:v>
                </c:pt>
                <c:pt idx="13">
                  <c:v>3.9897477459645961E-2</c:v>
                </c:pt>
                <c:pt idx="14">
                  <c:v>3.4630808104845402E-2</c:v>
                </c:pt>
                <c:pt idx="15">
                  <c:v>4.1096049524030266E-2</c:v>
                </c:pt>
                <c:pt idx="16">
                  <c:v>4.3063449830888348E-2</c:v>
                </c:pt>
                <c:pt idx="17">
                  <c:v>3.6655491976711689E-2</c:v>
                </c:pt>
                <c:pt idx="18">
                  <c:v>3.6338370203972237E-2</c:v>
                </c:pt>
                <c:pt idx="19">
                  <c:v>3.8444584990351145E-2</c:v>
                </c:pt>
                <c:pt idx="20">
                  <c:v>3.7114878432778747E-2</c:v>
                </c:pt>
                <c:pt idx="21">
                  <c:v>3.8745993024671063E-2</c:v>
                </c:pt>
                <c:pt idx="22">
                  <c:v>3.3797285745582405E-2</c:v>
                </c:pt>
                <c:pt idx="23">
                  <c:v>2.8755651031561191E-2</c:v>
                </c:pt>
                <c:pt idx="24">
                  <c:v>2.6482386781734334E-2</c:v>
                </c:pt>
                <c:pt idx="25">
                  <c:v>2.8400116317006469E-2</c:v>
                </c:pt>
                <c:pt idx="26">
                  <c:v>3.2298794513689555E-2</c:v>
                </c:pt>
                <c:pt idx="27">
                  <c:v>2.4846159467787173E-2</c:v>
                </c:pt>
                <c:pt idx="28">
                  <c:v>2.3452082525861929E-2</c:v>
                </c:pt>
                <c:pt idx="29">
                  <c:v>2.3022545643558497E-2</c:v>
                </c:pt>
                <c:pt idx="30">
                  <c:v>2.6756065750762868E-2</c:v>
                </c:pt>
                <c:pt idx="31">
                  <c:v>2.2501196850582973E-2</c:v>
                </c:pt>
                <c:pt idx="32">
                  <c:v>2.1622709742244218E-2</c:v>
                </c:pt>
                <c:pt idx="33">
                  <c:v>2.1562245847898152E-2</c:v>
                </c:pt>
                <c:pt idx="34">
                  <c:v>1.479015868733701E-2</c:v>
                </c:pt>
                <c:pt idx="35">
                  <c:v>1.6516567423693614E-2</c:v>
                </c:pt>
                <c:pt idx="36">
                  <c:v>1.7653389781074419E-2</c:v>
                </c:pt>
                <c:pt idx="37">
                  <c:v>1.6178455878884012E-2</c:v>
                </c:pt>
                <c:pt idx="38">
                  <c:v>1.5385428805657374E-2</c:v>
                </c:pt>
                <c:pt idx="39">
                  <c:v>1.8058447156922557E-2</c:v>
                </c:pt>
                <c:pt idx="40">
                  <c:v>1.8406187181140354E-2</c:v>
                </c:pt>
                <c:pt idx="41">
                  <c:v>1.9628360239624432E-2</c:v>
                </c:pt>
                <c:pt idx="42">
                  <c:v>1.8804525350114048E-2</c:v>
                </c:pt>
                <c:pt idx="43">
                  <c:v>2.176956857610415E-2</c:v>
                </c:pt>
                <c:pt idx="44">
                  <c:v>2.0302874738765294E-2</c:v>
                </c:pt>
                <c:pt idx="45">
                  <c:v>2.0917729663956119E-2</c:v>
                </c:pt>
                <c:pt idx="46">
                  <c:v>2.0989446659929856E-2</c:v>
                </c:pt>
                <c:pt idx="47">
                  <c:v>1.5989399269726416E-2</c:v>
                </c:pt>
                <c:pt idx="48">
                  <c:v>1.6566027721224227E-2</c:v>
                </c:pt>
                <c:pt idx="49">
                  <c:v>2.0156674013740043E-2</c:v>
                </c:pt>
                <c:pt idx="50">
                  <c:v>2.064222242721734E-2</c:v>
                </c:pt>
                <c:pt idx="51">
                  <c:v>2.1539674056301337E-2</c:v>
                </c:pt>
                <c:pt idx="52">
                  <c:v>2.1354744765603218E-2</c:v>
                </c:pt>
                <c:pt idx="53">
                  <c:v>2.2343251643806728E-2</c:v>
                </c:pt>
                <c:pt idx="54">
                  <c:v>2.0817538562170553E-2</c:v>
                </c:pt>
                <c:pt idx="55">
                  <c:v>2.5245808470209893E-2</c:v>
                </c:pt>
                <c:pt idx="56">
                  <c:v>2.3649136174796019E-2</c:v>
                </c:pt>
                <c:pt idx="57">
                  <c:v>2.1457827328515047E-2</c:v>
                </c:pt>
                <c:pt idx="58">
                  <c:v>2.2694627596829189E-2</c:v>
                </c:pt>
                <c:pt idx="59">
                  <c:v>2.6098403354525679E-2</c:v>
                </c:pt>
                <c:pt idx="60">
                  <c:v>2.7768877684319401E-2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D1-6444-BAF2-A18F71EF307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Scenarios'!$I$3:$I$63</c:f>
              <c:numCache>
                <c:formatCode>0.0000%</c:formatCode>
                <c:ptCount val="61"/>
                <c:pt idx="0">
                  <c:v>0.04</c:v>
                </c:pt>
                <c:pt idx="1">
                  <c:v>4.1243630301571389E-2</c:v>
                </c:pt>
                <c:pt idx="2">
                  <c:v>4.7525245561322496E-2</c:v>
                </c:pt>
                <c:pt idx="3">
                  <c:v>4.7391682369551782E-2</c:v>
                </c:pt>
                <c:pt idx="4">
                  <c:v>5.2866859382257742E-2</c:v>
                </c:pt>
                <c:pt idx="5">
                  <c:v>5.371325149811472E-2</c:v>
                </c:pt>
                <c:pt idx="6">
                  <c:v>5.8070693136005366E-2</c:v>
                </c:pt>
                <c:pt idx="7">
                  <c:v>5.2430996626210855E-2</c:v>
                </c:pt>
                <c:pt idx="8">
                  <c:v>4.8931301896903437E-2</c:v>
                </c:pt>
                <c:pt idx="9">
                  <c:v>4.8080616011704547E-2</c:v>
                </c:pt>
                <c:pt idx="10">
                  <c:v>4.5732039334490313E-2</c:v>
                </c:pt>
                <c:pt idx="11">
                  <c:v>4.5315577498471885E-2</c:v>
                </c:pt>
                <c:pt idx="12">
                  <c:v>4.4030165905095515E-2</c:v>
                </c:pt>
                <c:pt idx="13">
                  <c:v>3.9185307017012928E-2</c:v>
                </c:pt>
                <c:pt idx="14">
                  <c:v>3.4134589626679292E-2</c:v>
                </c:pt>
                <c:pt idx="15">
                  <c:v>3.4407866541260435E-2</c:v>
                </c:pt>
                <c:pt idx="16">
                  <c:v>3.4273465648129366E-2</c:v>
                </c:pt>
                <c:pt idx="17">
                  <c:v>3.6185231115942705E-2</c:v>
                </c:pt>
                <c:pt idx="18">
                  <c:v>3.3915430068786563E-2</c:v>
                </c:pt>
                <c:pt idx="19">
                  <c:v>4.0983747480296616E-2</c:v>
                </c:pt>
                <c:pt idx="20">
                  <c:v>4.1949475504554606E-2</c:v>
                </c:pt>
                <c:pt idx="21">
                  <c:v>4.4454741887992581E-2</c:v>
                </c:pt>
                <c:pt idx="22">
                  <c:v>4.3049686005913926E-2</c:v>
                </c:pt>
                <c:pt idx="23">
                  <c:v>4.2711018416878403E-2</c:v>
                </c:pt>
                <c:pt idx="24">
                  <c:v>3.83860542978283E-2</c:v>
                </c:pt>
                <c:pt idx="25">
                  <c:v>4.0413029390516289E-2</c:v>
                </c:pt>
                <c:pt idx="26">
                  <c:v>3.9284449035306673E-2</c:v>
                </c:pt>
                <c:pt idx="27">
                  <c:v>3.9572512748137653E-2</c:v>
                </c:pt>
                <c:pt idx="28">
                  <c:v>4.4050845569278727E-2</c:v>
                </c:pt>
                <c:pt idx="29">
                  <c:v>3.7841324482073092E-2</c:v>
                </c:pt>
                <c:pt idx="30">
                  <c:v>3.7272555349811727E-2</c:v>
                </c:pt>
                <c:pt idx="31">
                  <c:v>3.8060905706749922E-2</c:v>
                </c:pt>
                <c:pt idx="32">
                  <c:v>3.6576586985049703E-2</c:v>
                </c:pt>
                <c:pt idx="33">
                  <c:v>3.9641901873943772E-2</c:v>
                </c:pt>
                <c:pt idx="34">
                  <c:v>3.594560686538191E-2</c:v>
                </c:pt>
                <c:pt idx="35">
                  <c:v>3.4502448040586636E-2</c:v>
                </c:pt>
                <c:pt idx="36">
                  <c:v>3.4867308747413922E-2</c:v>
                </c:pt>
                <c:pt idx="37">
                  <c:v>3.4620766103736995E-2</c:v>
                </c:pt>
                <c:pt idx="38">
                  <c:v>3.660080232091497E-2</c:v>
                </c:pt>
                <c:pt idx="39">
                  <c:v>3.3931809717192632E-2</c:v>
                </c:pt>
                <c:pt idx="40">
                  <c:v>3.9796049385134091E-2</c:v>
                </c:pt>
                <c:pt idx="41">
                  <c:v>3.5815746497497969E-2</c:v>
                </c:pt>
                <c:pt idx="42">
                  <c:v>3.6601233959191924E-2</c:v>
                </c:pt>
                <c:pt idx="43">
                  <c:v>3.6189014780203754E-2</c:v>
                </c:pt>
                <c:pt idx="44">
                  <c:v>3.55298224178189E-2</c:v>
                </c:pt>
                <c:pt idx="45">
                  <c:v>3.8131705218028812E-2</c:v>
                </c:pt>
                <c:pt idx="46">
                  <c:v>3.8738356858778467E-2</c:v>
                </c:pt>
                <c:pt idx="47">
                  <c:v>4.1443273565073747E-2</c:v>
                </c:pt>
                <c:pt idx="48">
                  <c:v>3.7530716582589524E-2</c:v>
                </c:pt>
                <c:pt idx="49">
                  <c:v>3.72691354795915E-2</c:v>
                </c:pt>
                <c:pt idx="50">
                  <c:v>3.2921711035628111E-2</c:v>
                </c:pt>
                <c:pt idx="51">
                  <c:v>3.134091687224122E-2</c:v>
                </c:pt>
                <c:pt idx="52">
                  <c:v>3.3683468998352291E-2</c:v>
                </c:pt>
                <c:pt idx="53">
                  <c:v>2.9577557629897756E-2</c:v>
                </c:pt>
                <c:pt idx="54">
                  <c:v>3.0012678436012068E-2</c:v>
                </c:pt>
                <c:pt idx="55">
                  <c:v>2.9008681546956717E-2</c:v>
                </c:pt>
                <c:pt idx="56">
                  <c:v>2.7398920829431725E-2</c:v>
                </c:pt>
                <c:pt idx="57">
                  <c:v>3.1219620268396253E-2</c:v>
                </c:pt>
                <c:pt idx="58">
                  <c:v>2.8450159172404416E-2</c:v>
                </c:pt>
                <c:pt idx="59">
                  <c:v>2.9152671375393135E-2</c:v>
                </c:pt>
                <c:pt idx="60">
                  <c:v>2.9321608494996258E-2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D1-6444-BAF2-A18F71EF307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Scenarios'!$J$3:$J$63</c:f>
              <c:numCache>
                <c:formatCode>0.0000%</c:formatCode>
                <c:ptCount val="61"/>
                <c:pt idx="0">
                  <c:v>0.04</c:v>
                </c:pt>
                <c:pt idx="1">
                  <c:v>4.1911332096615232E-2</c:v>
                </c:pt>
                <c:pt idx="2">
                  <c:v>3.7815251012899523E-2</c:v>
                </c:pt>
                <c:pt idx="3">
                  <c:v>4.1535524537194654E-2</c:v>
                </c:pt>
                <c:pt idx="4">
                  <c:v>4.534824961240376E-2</c:v>
                </c:pt>
                <c:pt idx="5">
                  <c:v>4.4221286884084623E-2</c:v>
                </c:pt>
                <c:pt idx="6">
                  <c:v>3.8460911910837309E-2</c:v>
                </c:pt>
                <c:pt idx="7">
                  <c:v>3.9115311850172522E-2</c:v>
                </c:pt>
                <c:pt idx="8">
                  <c:v>3.1920430165279429E-2</c:v>
                </c:pt>
                <c:pt idx="9">
                  <c:v>3.3853142892953214E-2</c:v>
                </c:pt>
                <c:pt idx="10">
                  <c:v>3.2206835446060317E-2</c:v>
                </c:pt>
                <c:pt idx="11">
                  <c:v>3.0015743555060159E-2</c:v>
                </c:pt>
                <c:pt idx="12">
                  <c:v>2.8896829724482657E-2</c:v>
                </c:pt>
                <c:pt idx="13">
                  <c:v>3.0868960567333823E-2</c:v>
                </c:pt>
                <c:pt idx="14">
                  <c:v>3.0710987206188794E-2</c:v>
                </c:pt>
                <c:pt idx="15">
                  <c:v>2.6459078826590855E-2</c:v>
                </c:pt>
                <c:pt idx="16">
                  <c:v>2.6941760319323788E-2</c:v>
                </c:pt>
                <c:pt idx="17">
                  <c:v>2.4289288097427152E-2</c:v>
                </c:pt>
                <c:pt idx="18">
                  <c:v>3.0096594402713422E-2</c:v>
                </c:pt>
                <c:pt idx="19">
                  <c:v>2.7698395239756046E-2</c:v>
                </c:pt>
                <c:pt idx="20">
                  <c:v>3.093201965794274E-2</c:v>
                </c:pt>
                <c:pt idx="21">
                  <c:v>3.1831403023980374E-2</c:v>
                </c:pt>
                <c:pt idx="22">
                  <c:v>3.1191395623617078E-2</c:v>
                </c:pt>
                <c:pt idx="23">
                  <c:v>2.8700228987044427E-2</c:v>
                </c:pt>
                <c:pt idx="24">
                  <c:v>2.8877415663645489E-2</c:v>
                </c:pt>
                <c:pt idx="25">
                  <c:v>3.5142520060203977E-2</c:v>
                </c:pt>
                <c:pt idx="26">
                  <c:v>3.6149626640483525E-2</c:v>
                </c:pt>
                <c:pt idx="27">
                  <c:v>4.1124780997402077E-2</c:v>
                </c:pt>
                <c:pt idx="28">
                  <c:v>3.8770306037670753E-2</c:v>
                </c:pt>
                <c:pt idx="29">
                  <c:v>3.9031022224105032E-2</c:v>
                </c:pt>
                <c:pt idx="30">
                  <c:v>3.4406195370500339E-2</c:v>
                </c:pt>
                <c:pt idx="31">
                  <c:v>3.5669947741514697E-2</c:v>
                </c:pt>
                <c:pt idx="32">
                  <c:v>3.7732800212707647E-2</c:v>
                </c:pt>
                <c:pt idx="33">
                  <c:v>4.2220243208642705E-2</c:v>
                </c:pt>
                <c:pt idx="34">
                  <c:v>3.8510168124904071E-2</c:v>
                </c:pt>
                <c:pt idx="35">
                  <c:v>4.1617638419107233E-2</c:v>
                </c:pt>
                <c:pt idx="36">
                  <c:v>4.2926692629844103E-2</c:v>
                </c:pt>
                <c:pt idx="37">
                  <c:v>4.3152383600844502E-2</c:v>
                </c:pt>
                <c:pt idx="38">
                  <c:v>4.7329561827375285E-2</c:v>
                </c:pt>
                <c:pt idx="39">
                  <c:v>4.7898508385110013E-2</c:v>
                </c:pt>
                <c:pt idx="40">
                  <c:v>4.8311862896487492E-2</c:v>
                </c:pt>
                <c:pt idx="41">
                  <c:v>4.5507343385804359E-2</c:v>
                </c:pt>
                <c:pt idx="42">
                  <c:v>4.3213761731045637E-2</c:v>
                </c:pt>
                <c:pt idx="43">
                  <c:v>4.3300531090397727E-2</c:v>
                </c:pt>
                <c:pt idx="44">
                  <c:v>4.650685172527072E-2</c:v>
                </c:pt>
                <c:pt idx="45">
                  <c:v>4.7483878380027329E-2</c:v>
                </c:pt>
                <c:pt idx="46">
                  <c:v>5.0969856445655819E-2</c:v>
                </c:pt>
                <c:pt idx="47">
                  <c:v>5.209758768655167E-2</c:v>
                </c:pt>
                <c:pt idx="48">
                  <c:v>5.2917286299781631E-2</c:v>
                </c:pt>
                <c:pt idx="49">
                  <c:v>5.4658740336962039E-2</c:v>
                </c:pt>
                <c:pt idx="50">
                  <c:v>5.4608994786333652E-2</c:v>
                </c:pt>
                <c:pt idx="51">
                  <c:v>5.2128149612352119E-2</c:v>
                </c:pt>
                <c:pt idx="52">
                  <c:v>5.1748985426242795E-2</c:v>
                </c:pt>
                <c:pt idx="53">
                  <c:v>5.0998254082521649E-2</c:v>
                </c:pt>
                <c:pt idx="54">
                  <c:v>5.5652101050183166E-2</c:v>
                </c:pt>
                <c:pt idx="55">
                  <c:v>5.5690374809183964E-2</c:v>
                </c:pt>
                <c:pt idx="56">
                  <c:v>5.0891952505198221E-2</c:v>
                </c:pt>
                <c:pt idx="57">
                  <c:v>4.7499976027650985E-2</c:v>
                </c:pt>
                <c:pt idx="58">
                  <c:v>4.6089836746189286E-2</c:v>
                </c:pt>
                <c:pt idx="59">
                  <c:v>4.0459234696665757E-2</c:v>
                </c:pt>
                <c:pt idx="60">
                  <c:v>4.2930591501674858E-2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D1-6444-BAF2-A18F71EF3071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Scenarios'!$K$3:$K$63</c:f>
              <c:numCache>
                <c:formatCode>0.0000%</c:formatCode>
                <c:ptCount val="61"/>
                <c:pt idx="0">
                  <c:v>0.04</c:v>
                </c:pt>
                <c:pt idx="1">
                  <c:v>3.6758132436381957E-2</c:v>
                </c:pt>
                <c:pt idx="2">
                  <c:v>3.8236350738169562E-2</c:v>
                </c:pt>
                <c:pt idx="3">
                  <c:v>3.5670406496132553E-2</c:v>
                </c:pt>
                <c:pt idx="4">
                  <c:v>3.6906839347899331E-2</c:v>
                </c:pt>
                <c:pt idx="5">
                  <c:v>3.5575811234883077E-2</c:v>
                </c:pt>
                <c:pt idx="6">
                  <c:v>4.4324720161021937E-2</c:v>
                </c:pt>
                <c:pt idx="7">
                  <c:v>4.7453283464378097E-2</c:v>
                </c:pt>
                <c:pt idx="8">
                  <c:v>4.5786313819003145E-2</c:v>
                </c:pt>
                <c:pt idx="9">
                  <c:v>4.4900440905107669E-2</c:v>
                </c:pt>
                <c:pt idx="10">
                  <c:v>5.1238983535452171E-2</c:v>
                </c:pt>
                <c:pt idx="11">
                  <c:v>6.1860036043851443E-2</c:v>
                </c:pt>
                <c:pt idx="12">
                  <c:v>6.1113733983665534E-2</c:v>
                </c:pt>
                <c:pt idx="13">
                  <c:v>5.9072352911876361E-2</c:v>
                </c:pt>
                <c:pt idx="14">
                  <c:v>5.9814948345434577E-2</c:v>
                </c:pt>
                <c:pt idx="15">
                  <c:v>6.3364537005912713E-2</c:v>
                </c:pt>
                <c:pt idx="16">
                  <c:v>6.1409565353580407E-2</c:v>
                </c:pt>
                <c:pt idx="17">
                  <c:v>5.5018407813328327E-2</c:v>
                </c:pt>
                <c:pt idx="18">
                  <c:v>5.2855108187418565E-2</c:v>
                </c:pt>
                <c:pt idx="19">
                  <c:v>5.1686653816046556E-2</c:v>
                </c:pt>
                <c:pt idx="20">
                  <c:v>5.4095002551937846E-2</c:v>
                </c:pt>
                <c:pt idx="21">
                  <c:v>5.4750832181760134E-2</c:v>
                </c:pt>
                <c:pt idx="22">
                  <c:v>5.3509832617043111E-2</c:v>
                </c:pt>
                <c:pt idx="23">
                  <c:v>5.2069946006321588E-2</c:v>
                </c:pt>
                <c:pt idx="24">
                  <c:v>4.7026519252062533E-2</c:v>
                </c:pt>
                <c:pt idx="25">
                  <c:v>4.2610742433905245E-2</c:v>
                </c:pt>
                <c:pt idx="26">
                  <c:v>4.8195470647090913E-2</c:v>
                </c:pt>
                <c:pt idx="27">
                  <c:v>4.5388276815642711E-2</c:v>
                </c:pt>
                <c:pt idx="28">
                  <c:v>4.4290431555930564E-2</c:v>
                </c:pt>
                <c:pt idx="29">
                  <c:v>4.6510033675289129E-2</c:v>
                </c:pt>
                <c:pt idx="30">
                  <c:v>4.919151336404036E-2</c:v>
                </c:pt>
                <c:pt idx="31">
                  <c:v>5.5360982077055157E-2</c:v>
                </c:pt>
                <c:pt idx="32">
                  <c:v>5.8234077190085033E-2</c:v>
                </c:pt>
                <c:pt idx="33">
                  <c:v>5.3450835041137679E-2</c:v>
                </c:pt>
                <c:pt idx="34">
                  <c:v>5.3241678384564776E-2</c:v>
                </c:pt>
                <c:pt idx="35">
                  <c:v>5.6553666461850935E-2</c:v>
                </c:pt>
                <c:pt idx="36">
                  <c:v>5.6462283244278863E-2</c:v>
                </c:pt>
                <c:pt idx="37">
                  <c:v>5.9024879096737731E-2</c:v>
                </c:pt>
                <c:pt idx="38">
                  <c:v>5.3032417498609319E-2</c:v>
                </c:pt>
                <c:pt idx="39">
                  <c:v>5.8630265014510956E-2</c:v>
                </c:pt>
                <c:pt idx="40">
                  <c:v>5.7233221447481095E-2</c:v>
                </c:pt>
                <c:pt idx="41">
                  <c:v>5.2064258383793839E-2</c:v>
                </c:pt>
                <c:pt idx="42">
                  <c:v>5.4783504205725884E-2</c:v>
                </c:pt>
                <c:pt idx="43">
                  <c:v>5.8315726446899502E-2</c:v>
                </c:pt>
                <c:pt idx="44">
                  <c:v>5.8361621692376492E-2</c:v>
                </c:pt>
                <c:pt idx="45">
                  <c:v>5.6992902722288588E-2</c:v>
                </c:pt>
                <c:pt idx="46">
                  <c:v>6.2140373711734712E-2</c:v>
                </c:pt>
                <c:pt idx="47">
                  <c:v>6.6321570403578528E-2</c:v>
                </c:pt>
                <c:pt idx="48">
                  <c:v>6.7772617425509607E-2</c:v>
                </c:pt>
                <c:pt idx="49">
                  <c:v>6.6887921843632958E-2</c:v>
                </c:pt>
                <c:pt idx="50">
                  <c:v>7.1730267712816639E-2</c:v>
                </c:pt>
                <c:pt idx="51">
                  <c:v>7.3654780945290488E-2</c:v>
                </c:pt>
                <c:pt idx="52">
                  <c:v>7.1691717637964628E-2</c:v>
                </c:pt>
                <c:pt idx="53">
                  <c:v>6.8968372471602937E-2</c:v>
                </c:pt>
                <c:pt idx="54">
                  <c:v>6.9103064618336013E-2</c:v>
                </c:pt>
                <c:pt idx="55">
                  <c:v>6.2012321478300124E-2</c:v>
                </c:pt>
                <c:pt idx="56">
                  <c:v>6.0127679601098792E-2</c:v>
                </c:pt>
                <c:pt idx="57">
                  <c:v>5.2267438669877472E-2</c:v>
                </c:pt>
                <c:pt idx="58">
                  <c:v>5.4553026512896091E-2</c:v>
                </c:pt>
                <c:pt idx="59">
                  <c:v>5.0136313447366535E-2</c:v>
                </c:pt>
                <c:pt idx="60">
                  <c:v>4.9759314451916829E-2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D1-6444-BAF2-A18F71EF3071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Scenarios'!$L$3:$L$63</c:f>
              <c:numCache>
                <c:formatCode>0.0000%</c:formatCode>
                <c:ptCount val="61"/>
                <c:pt idx="0">
                  <c:v>0.04</c:v>
                </c:pt>
                <c:pt idx="1">
                  <c:v>3.9481359074275538E-2</c:v>
                </c:pt>
                <c:pt idx="2">
                  <c:v>4.0420463961445732E-2</c:v>
                </c:pt>
                <c:pt idx="3">
                  <c:v>3.7938141155500066E-2</c:v>
                </c:pt>
                <c:pt idx="4">
                  <c:v>3.9320651790667155E-2</c:v>
                </c:pt>
                <c:pt idx="5">
                  <c:v>3.7645199272380137E-2</c:v>
                </c:pt>
                <c:pt idx="6">
                  <c:v>3.8997687576129363E-2</c:v>
                </c:pt>
                <c:pt idx="7">
                  <c:v>3.5535424888208204E-2</c:v>
                </c:pt>
                <c:pt idx="8">
                  <c:v>3.4733652660655832E-2</c:v>
                </c:pt>
                <c:pt idx="9">
                  <c:v>3.630172693279797E-2</c:v>
                </c:pt>
                <c:pt idx="10">
                  <c:v>3.3814709075239084E-2</c:v>
                </c:pt>
                <c:pt idx="11">
                  <c:v>2.8970374353040625E-2</c:v>
                </c:pt>
                <c:pt idx="12">
                  <c:v>2.9812218492033235E-2</c:v>
                </c:pt>
                <c:pt idx="13">
                  <c:v>3.4838152582928675E-2</c:v>
                </c:pt>
                <c:pt idx="14">
                  <c:v>3.2038910639566529E-2</c:v>
                </c:pt>
                <c:pt idx="15">
                  <c:v>3.5636680349152371E-2</c:v>
                </c:pt>
                <c:pt idx="16">
                  <c:v>3.257032213020785E-2</c:v>
                </c:pt>
                <c:pt idx="17">
                  <c:v>3.6950235294614234E-2</c:v>
                </c:pt>
                <c:pt idx="18">
                  <c:v>3.6812292279954938E-2</c:v>
                </c:pt>
                <c:pt idx="19">
                  <c:v>3.7568892254470895E-2</c:v>
                </c:pt>
                <c:pt idx="20">
                  <c:v>3.2424639522875609E-2</c:v>
                </c:pt>
                <c:pt idx="21">
                  <c:v>3.6545952324468826E-2</c:v>
                </c:pt>
                <c:pt idx="22">
                  <c:v>3.6766902012556099E-2</c:v>
                </c:pt>
                <c:pt idx="23">
                  <c:v>3.2650993503835615E-2</c:v>
                </c:pt>
                <c:pt idx="24">
                  <c:v>3.1711891813800741E-2</c:v>
                </c:pt>
                <c:pt idx="25">
                  <c:v>3.1085202293331719E-2</c:v>
                </c:pt>
                <c:pt idx="26">
                  <c:v>3.1690321257736041E-2</c:v>
                </c:pt>
                <c:pt idx="27">
                  <c:v>2.8407071037874675E-2</c:v>
                </c:pt>
                <c:pt idx="28">
                  <c:v>2.5806503280230386E-2</c:v>
                </c:pt>
                <c:pt idx="29">
                  <c:v>2.3838341624954237E-2</c:v>
                </c:pt>
                <c:pt idx="30">
                  <c:v>2.2233719826688411E-2</c:v>
                </c:pt>
                <c:pt idx="31">
                  <c:v>2.0353181761285411E-2</c:v>
                </c:pt>
                <c:pt idx="32">
                  <c:v>2.2945944701989233E-2</c:v>
                </c:pt>
                <c:pt idx="33">
                  <c:v>2.2958005481876584E-2</c:v>
                </c:pt>
                <c:pt idx="34">
                  <c:v>1.7086008688492371E-2</c:v>
                </c:pt>
                <c:pt idx="35">
                  <c:v>1.4907706311829633E-2</c:v>
                </c:pt>
                <c:pt idx="36">
                  <c:v>1.198825443888764E-2</c:v>
                </c:pt>
                <c:pt idx="37">
                  <c:v>1.2360623241495445E-2</c:v>
                </c:pt>
                <c:pt idx="38">
                  <c:v>1.1777185846531936E-2</c:v>
                </c:pt>
                <c:pt idx="39">
                  <c:v>1.3089737996974857E-2</c:v>
                </c:pt>
                <c:pt idx="40">
                  <c:v>1.6100248650755152E-2</c:v>
                </c:pt>
                <c:pt idx="41">
                  <c:v>1.6486109686239998E-2</c:v>
                </c:pt>
                <c:pt idx="42">
                  <c:v>1.6696256739179998E-2</c:v>
                </c:pt>
                <c:pt idx="43">
                  <c:v>1.9253231078236132E-2</c:v>
                </c:pt>
                <c:pt idx="44">
                  <c:v>1.6802891107984219E-2</c:v>
                </c:pt>
                <c:pt idx="45">
                  <c:v>1.4264844568488047E-2</c:v>
                </c:pt>
                <c:pt idx="46">
                  <c:v>1.8049906371459722E-2</c:v>
                </c:pt>
                <c:pt idx="47">
                  <c:v>1.8586004262382907E-2</c:v>
                </c:pt>
                <c:pt idx="48">
                  <c:v>1.9018823206944147E-2</c:v>
                </c:pt>
                <c:pt idx="49">
                  <c:v>1.5900026881387731E-2</c:v>
                </c:pt>
                <c:pt idx="50">
                  <c:v>1.4547214759304188E-2</c:v>
                </c:pt>
                <c:pt idx="51">
                  <c:v>1.5075569924658628E-2</c:v>
                </c:pt>
                <c:pt idx="52">
                  <c:v>1.3050520650761533E-2</c:v>
                </c:pt>
                <c:pt idx="53">
                  <c:v>1.5170589131577216E-2</c:v>
                </c:pt>
                <c:pt idx="54">
                  <c:v>1.6031748320921867E-2</c:v>
                </c:pt>
                <c:pt idx="55">
                  <c:v>1.3886452556401823E-2</c:v>
                </c:pt>
                <c:pt idx="56">
                  <c:v>1.7170300295533163E-2</c:v>
                </c:pt>
                <c:pt idx="57">
                  <c:v>1.775142635655334E-2</c:v>
                </c:pt>
                <c:pt idx="58">
                  <c:v>1.9526681211829062E-2</c:v>
                </c:pt>
                <c:pt idx="59">
                  <c:v>2.0293800399180582E-2</c:v>
                </c:pt>
                <c:pt idx="60">
                  <c:v>2.3360261733402124E-2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D1-6444-BAF2-A18F71EF3071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Scenarios'!$M$3:$M$63</c:f>
              <c:numCache>
                <c:formatCode>0.0000%</c:formatCode>
                <c:ptCount val="61"/>
                <c:pt idx="0">
                  <c:v>0.04</c:v>
                </c:pt>
                <c:pt idx="1">
                  <c:v>3.9275017429305441E-2</c:v>
                </c:pt>
                <c:pt idx="2">
                  <c:v>4.317746559956482E-2</c:v>
                </c:pt>
                <c:pt idx="3">
                  <c:v>4.4049211709865525E-2</c:v>
                </c:pt>
                <c:pt idx="4">
                  <c:v>4.2831627981723672E-2</c:v>
                </c:pt>
                <c:pt idx="5">
                  <c:v>3.9502508896920259E-2</c:v>
                </c:pt>
                <c:pt idx="6">
                  <c:v>3.8483331292102275E-2</c:v>
                </c:pt>
                <c:pt idx="7">
                  <c:v>3.4966980619950905E-2</c:v>
                </c:pt>
                <c:pt idx="8">
                  <c:v>3.8050742972801019E-2</c:v>
                </c:pt>
                <c:pt idx="9">
                  <c:v>3.4825245695507566E-2</c:v>
                </c:pt>
                <c:pt idx="10">
                  <c:v>3.8594913740232363E-2</c:v>
                </c:pt>
                <c:pt idx="11">
                  <c:v>3.5973971590406773E-2</c:v>
                </c:pt>
                <c:pt idx="12">
                  <c:v>3.7686766607147183E-2</c:v>
                </c:pt>
                <c:pt idx="13">
                  <c:v>3.6771486081266493E-2</c:v>
                </c:pt>
                <c:pt idx="14">
                  <c:v>4.0489794746311834E-2</c:v>
                </c:pt>
                <c:pt idx="15">
                  <c:v>3.7903333915909311E-2</c:v>
                </c:pt>
                <c:pt idx="16">
                  <c:v>3.5704206527729022E-2</c:v>
                </c:pt>
                <c:pt idx="17">
                  <c:v>3.7928046769640782E-2</c:v>
                </c:pt>
                <c:pt idx="18">
                  <c:v>4.5457203316168114E-2</c:v>
                </c:pt>
                <c:pt idx="19">
                  <c:v>5.1711938966270403E-2</c:v>
                </c:pt>
                <c:pt idx="20">
                  <c:v>5.2388599688611294E-2</c:v>
                </c:pt>
                <c:pt idx="21">
                  <c:v>5.3902130369865159E-2</c:v>
                </c:pt>
                <c:pt idx="22">
                  <c:v>5.0365548190900132E-2</c:v>
                </c:pt>
                <c:pt idx="23">
                  <c:v>4.483899522645577E-2</c:v>
                </c:pt>
                <c:pt idx="24">
                  <c:v>4.9686856588013292E-2</c:v>
                </c:pt>
                <c:pt idx="25">
                  <c:v>4.7736052377131223E-2</c:v>
                </c:pt>
                <c:pt idx="26">
                  <c:v>5.1933751397744421E-2</c:v>
                </c:pt>
                <c:pt idx="27">
                  <c:v>5.2498961344938234E-2</c:v>
                </c:pt>
                <c:pt idx="28">
                  <c:v>5.2584931184860864E-2</c:v>
                </c:pt>
                <c:pt idx="29">
                  <c:v>4.8678719906396065E-2</c:v>
                </c:pt>
                <c:pt idx="30">
                  <c:v>4.5378089134039824E-2</c:v>
                </c:pt>
                <c:pt idx="31">
                  <c:v>4.4175694384302099E-2</c:v>
                </c:pt>
                <c:pt idx="32">
                  <c:v>3.8576223697984829E-2</c:v>
                </c:pt>
                <c:pt idx="33">
                  <c:v>3.7281434695333793E-2</c:v>
                </c:pt>
                <c:pt idx="34">
                  <c:v>3.7066016364430118E-2</c:v>
                </c:pt>
                <c:pt idx="35">
                  <c:v>3.6549801328732166E-2</c:v>
                </c:pt>
                <c:pt idx="36">
                  <c:v>3.4742224680475185E-2</c:v>
                </c:pt>
                <c:pt idx="37">
                  <c:v>3.2071586089607709E-2</c:v>
                </c:pt>
                <c:pt idx="38">
                  <c:v>3.1374027987946682E-2</c:v>
                </c:pt>
                <c:pt idx="39">
                  <c:v>3.2143829116201825E-2</c:v>
                </c:pt>
                <c:pt idx="40">
                  <c:v>3.4291015243215803E-2</c:v>
                </c:pt>
                <c:pt idx="41">
                  <c:v>3.3581329979890641E-2</c:v>
                </c:pt>
                <c:pt idx="42">
                  <c:v>2.839894468169793E-2</c:v>
                </c:pt>
                <c:pt idx="43">
                  <c:v>1.9053974309488346E-2</c:v>
                </c:pt>
                <c:pt idx="44">
                  <c:v>2.4814789363255062E-2</c:v>
                </c:pt>
                <c:pt idx="45">
                  <c:v>2.769828602502394E-2</c:v>
                </c:pt>
                <c:pt idx="46">
                  <c:v>2.7505768042454876E-2</c:v>
                </c:pt>
                <c:pt idx="47">
                  <c:v>2.502043116653822E-2</c:v>
                </c:pt>
                <c:pt idx="48">
                  <c:v>1.9684026783912414E-2</c:v>
                </c:pt>
                <c:pt idx="49">
                  <c:v>2.1320320205874422E-2</c:v>
                </c:pt>
                <c:pt idx="50">
                  <c:v>2.5882051697852623E-2</c:v>
                </c:pt>
                <c:pt idx="51">
                  <c:v>2.3216911240873096E-2</c:v>
                </c:pt>
                <c:pt idx="52">
                  <c:v>2.2909985217695866E-2</c:v>
                </c:pt>
                <c:pt idx="53">
                  <c:v>2.607321587194671E-2</c:v>
                </c:pt>
                <c:pt idx="54">
                  <c:v>2.989849859404162E-2</c:v>
                </c:pt>
                <c:pt idx="55">
                  <c:v>2.8521066060247981E-2</c:v>
                </c:pt>
                <c:pt idx="56">
                  <c:v>2.8267252864190972E-2</c:v>
                </c:pt>
                <c:pt idx="57">
                  <c:v>2.5950702114743079E-2</c:v>
                </c:pt>
                <c:pt idx="58">
                  <c:v>2.3218017566626139E-2</c:v>
                </c:pt>
                <c:pt idx="59">
                  <c:v>2.2834051720183796E-2</c:v>
                </c:pt>
                <c:pt idx="60">
                  <c:v>2.0852596727185264E-2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D1-6444-BAF2-A18F71EF3071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Scenarios'!$N$3:$N$63</c:f>
              <c:numCache>
                <c:formatCode>0.0000%</c:formatCode>
                <c:ptCount val="61"/>
                <c:pt idx="0">
                  <c:v>0.04</c:v>
                </c:pt>
                <c:pt idx="1">
                  <c:v>4.1835594949686521E-2</c:v>
                </c:pt>
                <c:pt idx="2">
                  <c:v>4.3461205964556472E-2</c:v>
                </c:pt>
                <c:pt idx="3">
                  <c:v>4.1116046343029823E-2</c:v>
                </c:pt>
                <c:pt idx="4">
                  <c:v>4.6081592216570086E-2</c:v>
                </c:pt>
                <c:pt idx="5">
                  <c:v>4.6412999914233075E-2</c:v>
                </c:pt>
                <c:pt idx="6">
                  <c:v>4.7816448320642038E-2</c:v>
                </c:pt>
                <c:pt idx="7">
                  <c:v>4.4426527176838884E-2</c:v>
                </c:pt>
                <c:pt idx="8">
                  <c:v>4.2328800156635489E-2</c:v>
                </c:pt>
                <c:pt idx="9">
                  <c:v>4.8658811327059917E-2</c:v>
                </c:pt>
                <c:pt idx="10">
                  <c:v>3.8974811394032541E-2</c:v>
                </c:pt>
                <c:pt idx="11">
                  <c:v>4.4813695187896227E-2</c:v>
                </c:pt>
                <c:pt idx="12">
                  <c:v>5.1377630239438143E-2</c:v>
                </c:pt>
                <c:pt idx="13">
                  <c:v>5.1585540131894474E-2</c:v>
                </c:pt>
                <c:pt idx="14">
                  <c:v>5.1412469659241247E-2</c:v>
                </c:pt>
                <c:pt idx="15">
                  <c:v>5.513128885952643E-2</c:v>
                </c:pt>
                <c:pt idx="16">
                  <c:v>5.2095974506843348E-2</c:v>
                </c:pt>
                <c:pt idx="17">
                  <c:v>4.5908144539885135E-2</c:v>
                </c:pt>
                <c:pt idx="18">
                  <c:v>3.9308111569555812E-2</c:v>
                </c:pt>
                <c:pt idx="19">
                  <c:v>3.3948989103363164E-2</c:v>
                </c:pt>
                <c:pt idx="20">
                  <c:v>3.2126768371790237E-2</c:v>
                </c:pt>
                <c:pt idx="21">
                  <c:v>3.2729917646930881E-2</c:v>
                </c:pt>
                <c:pt idx="22">
                  <c:v>3.0332013665108508E-2</c:v>
                </c:pt>
                <c:pt idx="23">
                  <c:v>2.6616974641804601E-2</c:v>
                </c:pt>
                <c:pt idx="24">
                  <c:v>2.929182189722174E-2</c:v>
                </c:pt>
                <c:pt idx="25">
                  <c:v>3.209351726428019E-2</c:v>
                </c:pt>
                <c:pt idx="26">
                  <c:v>3.4521066650978365E-2</c:v>
                </c:pt>
                <c:pt idx="27">
                  <c:v>3.7928114577718927E-2</c:v>
                </c:pt>
                <c:pt idx="28">
                  <c:v>3.9637121451803564E-2</c:v>
                </c:pt>
                <c:pt idx="29">
                  <c:v>3.8279947623483447E-2</c:v>
                </c:pt>
                <c:pt idx="30">
                  <c:v>3.2547671072181747E-2</c:v>
                </c:pt>
                <c:pt idx="31">
                  <c:v>3.4613905231150835E-2</c:v>
                </c:pt>
                <c:pt idx="32">
                  <c:v>3.8638302948818454E-2</c:v>
                </c:pt>
                <c:pt idx="33">
                  <c:v>3.5381977376871369E-2</c:v>
                </c:pt>
                <c:pt idx="34">
                  <c:v>3.4181141330375843E-2</c:v>
                </c:pt>
                <c:pt idx="35">
                  <c:v>3.7129200603870427E-2</c:v>
                </c:pt>
                <c:pt idx="36">
                  <c:v>4.0434057381121845E-2</c:v>
                </c:pt>
                <c:pt idx="37">
                  <c:v>4.3660115348974071E-2</c:v>
                </c:pt>
                <c:pt idx="38">
                  <c:v>4.4999565702505726E-2</c:v>
                </c:pt>
                <c:pt idx="39">
                  <c:v>4.8596506990307389E-2</c:v>
                </c:pt>
                <c:pt idx="40">
                  <c:v>4.8600383663031835E-2</c:v>
                </c:pt>
                <c:pt idx="41">
                  <c:v>5.0275811642143647E-2</c:v>
                </c:pt>
                <c:pt idx="42">
                  <c:v>5.1697190279692384E-2</c:v>
                </c:pt>
                <c:pt idx="43">
                  <c:v>4.6617111591420408E-2</c:v>
                </c:pt>
                <c:pt idx="44">
                  <c:v>4.0015134631664125E-2</c:v>
                </c:pt>
                <c:pt idx="45">
                  <c:v>4.0381457542478433E-2</c:v>
                </c:pt>
                <c:pt idx="46">
                  <c:v>4.6495457409924723E-2</c:v>
                </c:pt>
                <c:pt idx="47">
                  <c:v>4.1592028375932559E-2</c:v>
                </c:pt>
                <c:pt idx="48">
                  <c:v>4.7330044669984236E-2</c:v>
                </c:pt>
                <c:pt idx="49">
                  <c:v>4.8197722432331905E-2</c:v>
                </c:pt>
                <c:pt idx="50">
                  <c:v>4.9162032327323413E-2</c:v>
                </c:pt>
                <c:pt idx="51">
                  <c:v>5.1950651632745613E-2</c:v>
                </c:pt>
                <c:pt idx="52">
                  <c:v>4.6239584700516659E-2</c:v>
                </c:pt>
                <c:pt idx="53">
                  <c:v>4.6153633365115722E-2</c:v>
                </c:pt>
                <c:pt idx="54">
                  <c:v>4.6433090114897796E-2</c:v>
                </c:pt>
                <c:pt idx="55">
                  <c:v>4.832437230236545E-2</c:v>
                </c:pt>
                <c:pt idx="56">
                  <c:v>4.9797628664201565E-2</c:v>
                </c:pt>
                <c:pt idx="57">
                  <c:v>5.2169669837873703E-2</c:v>
                </c:pt>
                <c:pt idx="58">
                  <c:v>5.2162807072244709E-2</c:v>
                </c:pt>
                <c:pt idx="59">
                  <c:v>4.9164306296922193E-2</c:v>
                </c:pt>
                <c:pt idx="60">
                  <c:v>4.8655180404652394E-2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9D1-6444-BAF2-A18F71EF3071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Scenarios'!$O$3:$O$63</c:f>
              <c:numCache>
                <c:formatCode>0.0000%</c:formatCode>
                <c:ptCount val="61"/>
                <c:pt idx="0">
                  <c:v>0.04</c:v>
                </c:pt>
                <c:pt idx="1">
                  <c:v>3.7042299510480492E-2</c:v>
                </c:pt>
                <c:pt idx="2">
                  <c:v>3.8468169009173957E-2</c:v>
                </c:pt>
                <c:pt idx="3">
                  <c:v>3.8574358884542186E-2</c:v>
                </c:pt>
                <c:pt idx="4">
                  <c:v>3.4255550868243015E-2</c:v>
                </c:pt>
                <c:pt idx="5">
                  <c:v>3.3849850867064005E-2</c:v>
                </c:pt>
                <c:pt idx="6">
                  <c:v>3.1965891182660029E-2</c:v>
                </c:pt>
                <c:pt idx="7">
                  <c:v>2.829256334293128E-2</c:v>
                </c:pt>
                <c:pt idx="8">
                  <c:v>3.1838765428469029E-2</c:v>
                </c:pt>
                <c:pt idx="9">
                  <c:v>3.0634474717781586E-2</c:v>
                </c:pt>
                <c:pt idx="10">
                  <c:v>3.2966179880774479E-2</c:v>
                </c:pt>
                <c:pt idx="11">
                  <c:v>3.4234795029230818E-2</c:v>
                </c:pt>
                <c:pt idx="12">
                  <c:v>3.3336826530898915E-2</c:v>
                </c:pt>
                <c:pt idx="13">
                  <c:v>3.2325533454199244E-2</c:v>
                </c:pt>
                <c:pt idx="14">
                  <c:v>3.3203486425557774E-2</c:v>
                </c:pt>
                <c:pt idx="15">
                  <c:v>3.9186709832325306E-2</c:v>
                </c:pt>
                <c:pt idx="16">
                  <c:v>3.8828887702328639E-2</c:v>
                </c:pt>
                <c:pt idx="17">
                  <c:v>3.672089592138128E-2</c:v>
                </c:pt>
                <c:pt idx="18">
                  <c:v>4.0133306252635871E-2</c:v>
                </c:pt>
                <c:pt idx="19">
                  <c:v>4.1139889443677212E-2</c:v>
                </c:pt>
                <c:pt idx="20">
                  <c:v>3.9035099110032473E-2</c:v>
                </c:pt>
                <c:pt idx="21">
                  <c:v>4.2855936101168654E-2</c:v>
                </c:pt>
                <c:pt idx="22">
                  <c:v>4.0037572398375361E-2</c:v>
                </c:pt>
                <c:pt idx="23">
                  <c:v>3.916363561080722E-2</c:v>
                </c:pt>
                <c:pt idx="24">
                  <c:v>4.0855242239189064E-2</c:v>
                </c:pt>
                <c:pt idx="25">
                  <c:v>4.4786042481796011E-2</c:v>
                </c:pt>
                <c:pt idx="26">
                  <c:v>4.4312472270490864E-2</c:v>
                </c:pt>
                <c:pt idx="27">
                  <c:v>4.5608330175886183E-2</c:v>
                </c:pt>
                <c:pt idx="28">
                  <c:v>5.2823109902937385E-2</c:v>
                </c:pt>
                <c:pt idx="29">
                  <c:v>5.4821127693704064E-2</c:v>
                </c:pt>
                <c:pt idx="30">
                  <c:v>5.4026743643676961E-2</c:v>
                </c:pt>
                <c:pt idx="31">
                  <c:v>6.3176463258105581E-2</c:v>
                </c:pt>
                <c:pt idx="32">
                  <c:v>5.3265712973733739E-2</c:v>
                </c:pt>
                <c:pt idx="33">
                  <c:v>5.069559919534166E-2</c:v>
                </c:pt>
                <c:pt idx="34">
                  <c:v>4.8152584193682943E-2</c:v>
                </c:pt>
                <c:pt idx="35">
                  <c:v>4.4727527132926145E-2</c:v>
                </c:pt>
                <c:pt idx="36">
                  <c:v>4.4509237131247492E-2</c:v>
                </c:pt>
                <c:pt idx="37">
                  <c:v>4.5368499931129236E-2</c:v>
                </c:pt>
                <c:pt idx="38">
                  <c:v>4.3041663390492924E-2</c:v>
                </c:pt>
                <c:pt idx="39">
                  <c:v>3.8136272670352397E-2</c:v>
                </c:pt>
                <c:pt idx="40">
                  <c:v>2.8928193861376447E-2</c:v>
                </c:pt>
                <c:pt idx="41">
                  <c:v>3.0745309379028925E-2</c:v>
                </c:pt>
                <c:pt idx="42">
                  <c:v>3.4249438202707053E-2</c:v>
                </c:pt>
                <c:pt idx="43">
                  <c:v>3.6972160633828278E-2</c:v>
                </c:pt>
                <c:pt idx="44">
                  <c:v>3.6462043825488691E-2</c:v>
                </c:pt>
                <c:pt idx="45">
                  <c:v>3.7508422950491838E-2</c:v>
                </c:pt>
                <c:pt idx="46">
                  <c:v>4.2853611401971019E-2</c:v>
                </c:pt>
                <c:pt idx="47">
                  <c:v>3.9053621529885507E-2</c:v>
                </c:pt>
                <c:pt idx="48">
                  <c:v>3.7182737350056186E-2</c:v>
                </c:pt>
                <c:pt idx="49">
                  <c:v>4.0269870423251697E-2</c:v>
                </c:pt>
                <c:pt idx="50">
                  <c:v>3.7112313608758316E-2</c:v>
                </c:pt>
                <c:pt idx="51">
                  <c:v>3.9710628522771463E-2</c:v>
                </c:pt>
                <c:pt idx="52">
                  <c:v>4.439954337979974E-2</c:v>
                </c:pt>
                <c:pt idx="53">
                  <c:v>4.9880357369316508E-2</c:v>
                </c:pt>
                <c:pt idx="54">
                  <c:v>5.1854535385876373E-2</c:v>
                </c:pt>
                <c:pt idx="55">
                  <c:v>5.6411281689621125E-2</c:v>
                </c:pt>
                <c:pt idx="56">
                  <c:v>6.2899239545592206E-2</c:v>
                </c:pt>
                <c:pt idx="57">
                  <c:v>7.0970634341259359E-2</c:v>
                </c:pt>
                <c:pt idx="58">
                  <c:v>7.3860177546167166E-2</c:v>
                </c:pt>
                <c:pt idx="59">
                  <c:v>7.3546232127730052E-2</c:v>
                </c:pt>
                <c:pt idx="60">
                  <c:v>7.30421574757317E-2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D1-6444-BAF2-A18F71EF3071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Scenarios'!$P$3:$P$63</c:f>
              <c:numCache>
                <c:formatCode>0.0000%</c:formatCode>
                <c:ptCount val="61"/>
                <c:pt idx="0">
                  <c:v>0.04</c:v>
                </c:pt>
                <c:pt idx="1">
                  <c:v>4.1464100943905624E-2</c:v>
                </c:pt>
                <c:pt idx="2">
                  <c:v>3.7204187774148634E-2</c:v>
                </c:pt>
                <c:pt idx="3">
                  <c:v>3.9398021509290469E-2</c:v>
                </c:pt>
                <c:pt idx="4">
                  <c:v>4.029034946402657E-2</c:v>
                </c:pt>
                <c:pt idx="5">
                  <c:v>4.8296952214823968E-2</c:v>
                </c:pt>
                <c:pt idx="6">
                  <c:v>4.4952011393417833E-2</c:v>
                </c:pt>
                <c:pt idx="7">
                  <c:v>4.8737621990677757E-2</c:v>
                </c:pt>
                <c:pt idx="8">
                  <c:v>4.9989450287194717E-2</c:v>
                </c:pt>
                <c:pt idx="9">
                  <c:v>5.0757504364397264E-2</c:v>
                </c:pt>
                <c:pt idx="10">
                  <c:v>5.7343379599916172E-2</c:v>
                </c:pt>
                <c:pt idx="11">
                  <c:v>5.6689981579852902E-2</c:v>
                </c:pt>
                <c:pt idx="12">
                  <c:v>5.7238155096065974E-2</c:v>
                </c:pt>
                <c:pt idx="13">
                  <c:v>6.2445039858149629E-2</c:v>
                </c:pt>
                <c:pt idx="14">
                  <c:v>6.2358366428655783E-2</c:v>
                </c:pt>
                <c:pt idx="15">
                  <c:v>5.8417388057420777E-2</c:v>
                </c:pt>
                <c:pt idx="16">
                  <c:v>6.2311986040055278E-2</c:v>
                </c:pt>
                <c:pt idx="17">
                  <c:v>6.83040340503277E-2</c:v>
                </c:pt>
                <c:pt idx="18">
                  <c:v>7.2383312927390114E-2</c:v>
                </c:pt>
                <c:pt idx="19">
                  <c:v>6.9284936594132929E-2</c:v>
                </c:pt>
                <c:pt idx="20">
                  <c:v>7.084257424076229E-2</c:v>
                </c:pt>
                <c:pt idx="21">
                  <c:v>6.5305603247879179E-2</c:v>
                </c:pt>
                <c:pt idx="22">
                  <c:v>6.8456940436059807E-2</c:v>
                </c:pt>
                <c:pt idx="23">
                  <c:v>5.9687583653321927E-2</c:v>
                </c:pt>
                <c:pt idx="24">
                  <c:v>5.8669135576995761E-2</c:v>
                </c:pt>
                <c:pt idx="25">
                  <c:v>5.7103200425681476E-2</c:v>
                </c:pt>
                <c:pt idx="26">
                  <c:v>5.7515509056209488E-2</c:v>
                </c:pt>
                <c:pt idx="27">
                  <c:v>5.5440381761642489E-2</c:v>
                </c:pt>
                <c:pt idx="28">
                  <c:v>6.3984860470539473E-2</c:v>
                </c:pt>
                <c:pt idx="29">
                  <c:v>6.4368096913679992E-2</c:v>
                </c:pt>
                <c:pt idx="30">
                  <c:v>6.9143525800292385E-2</c:v>
                </c:pt>
                <c:pt idx="31">
                  <c:v>7.0092578706444642E-2</c:v>
                </c:pt>
                <c:pt idx="32">
                  <c:v>6.6291830955387751E-2</c:v>
                </c:pt>
                <c:pt idx="33">
                  <c:v>6.35007312963628E-2</c:v>
                </c:pt>
                <c:pt idx="34">
                  <c:v>6.6228159829708685E-2</c:v>
                </c:pt>
                <c:pt idx="35">
                  <c:v>6.7769149920317892E-2</c:v>
                </c:pt>
                <c:pt idx="36">
                  <c:v>6.6539839477738713E-2</c:v>
                </c:pt>
                <c:pt idx="37">
                  <c:v>6.8315732682034697E-2</c:v>
                </c:pt>
                <c:pt idx="38">
                  <c:v>6.6712614765208039E-2</c:v>
                </c:pt>
                <c:pt idx="39">
                  <c:v>6.307236651637968E-2</c:v>
                </c:pt>
                <c:pt idx="40">
                  <c:v>7.1676391663248212E-2</c:v>
                </c:pt>
                <c:pt idx="41">
                  <c:v>7.0336763223119964E-2</c:v>
                </c:pt>
                <c:pt idx="42">
                  <c:v>6.8943699485714646E-2</c:v>
                </c:pt>
                <c:pt idx="43">
                  <c:v>7.2123747444131678E-2</c:v>
                </c:pt>
                <c:pt idx="44">
                  <c:v>6.5006042816233067E-2</c:v>
                </c:pt>
                <c:pt idx="45">
                  <c:v>6.5958638955121204E-2</c:v>
                </c:pt>
                <c:pt idx="46">
                  <c:v>6.6598256395184241E-2</c:v>
                </c:pt>
                <c:pt idx="47">
                  <c:v>6.6108266263882998E-2</c:v>
                </c:pt>
                <c:pt idx="48">
                  <c:v>6.7213866097820693E-2</c:v>
                </c:pt>
                <c:pt idx="49">
                  <c:v>7.1783450371131832E-2</c:v>
                </c:pt>
                <c:pt idx="50">
                  <c:v>7.3261342511942301E-2</c:v>
                </c:pt>
                <c:pt idx="51">
                  <c:v>7.601103414206932E-2</c:v>
                </c:pt>
                <c:pt idx="52">
                  <c:v>8.0146106953509988E-2</c:v>
                </c:pt>
                <c:pt idx="53">
                  <c:v>8.3204638437911815E-2</c:v>
                </c:pt>
                <c:pt idx="54">
                  <c:v>8.4458265530896859E-2</c:v>
                </c:pt>
                <c:pt idx="55">
                  <c:v>8.9140037841018482E-2</c:v>
                </c:pt>
                <c:pt idx="56">
                  <c:v>8.7095666305193775E-2</c:v>
                </c:pt>
                <c:pt idx="57">
                  <c:v>8.0797803053187303E-2</c:v>
                </c:pt>
                <c:pt idx="58">
                  <c:v>7.6604860087452237E-2</c:v>
                </c:pt>
                <c:pt idx="59">
                  <c:v>7.8546206250540582E-2</c:v>
                </c:pt>
                <c:pt idx="60">
                  <c:v>7.4937690557524847E-2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9D1-6444-BAF2-A18F71EF3071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Scenarios'!$Q$3:$Q$63</c:f>
              <c:numCache>
                <c:formatCode>0.0000%</c:formatCode>
                <c:ptCount val="61"/>
                <c:pt idx="0">
                  <c:v>0.04</c:v>
                </c:pt>
                <c:pt idx="1">
                  <c:v>3.6266558860048571E-2</c:v>
                </c:pt>
                <c:pt idx="2">
                  <c:v>3.4196032279321602E-2</c:v>
                </c:pt>
                <c:pt idx="3">
                  <c:v>3.3710899478538114E-2</c:v>
                </c:pt>
                <c:pt idx="4">
                  <c:v>3.6773547463540057E-2</c:v>
                </c:pt>
                <c:pt idx="5">
                  <c:v>3.632629005688974E-2</c:v>
                </c:pt>
                <c:pt idx="6">
                  <c:v>3.5916592243841347E-2</c:v>
                </c:pt>
                <c:pt idx="7">
                  <c:v>3.6018989409305008E-2</c:v>
                </c:pt>
                <c:pt idx="8">
                  <c:v>3.5204084417103335E-2</c:v>
                </c:pt>
                <c:pt idx="9">
                  <c:v>3.5368597284088768E-2</c:v>
                </c:pt>
                <c:pt idx="10">
                  <c:v>3.7836488981845488E-2</c:v>
                </c:pt>
                <c:pt idx="11">
                  <c:v>3.9994099660254398E-2</c:v>
                </c:pt>
                <c:pt idx="12">
                  <c:v>3.7421210409865228E-2</c:v>
                </c:pt>
                <c:pt idx="13">
                  <c:v>3.8114348154476965E-2</c:v>
                </c:pt>
                <c:pt idx="14">
                  <c:v>3.8610377322949398E-2</c:v>
                </c:pt>
                <c:pt idx="15">
                  <c:v>3.7428815866307287E-2</c:v>
                </c:pt>
                <c:pt idx="16">
                  <c:v>3.7515687092044302E-2</c:v>
                </c:pt>
                <c:pt idx="17">
                  <c:v>3.8043667493655939E-2</c:v>
                </c:pt>
                <c:pt idx="18">
                  <c:v>3.4919461499926703E-2</c:v>
                </c:pt>
                <c:pt idx="19">
                  <c:v>3.4332338393377612E-2</c:v>
                </c:pt>
                <c:pt idx="20">
                  <c:v>3.5639529160565682E-2</c:v>
                </c:pt>
                <c:pt idx="21">
                  <c:v>3.5799934282803689E-2</c:v>
                </c:pt>
                <c:pt idx="22">
                  <c:v>2.4884614179865254E-2</c:v>
                </c:pt>
                <c:pt idx="23">
                  <c:v>2.7215788400598732E-2</c:v>
                </c:pt>
                <c:pt idx="24">
                  <c:v>2.0262241052647678E-2</c:v>
                </c:pt>
                <c:pt idx="25">
                  <c:v>2.4805188947209372E-2</c:v>
                </c:pt>
                <c:pt idx="26">
                  <c:v>2.3509228774575446E-2</c:v>
                </c:pt>
                <c:pt idx="27">
                  <c:v>2.7591737777677604E-2</c:v>
                </c:pt>
                <c:pt idx="28">
                  <c:v>3.0336038392935732E-2</c:v>
                </c:pt>
                <c:pt idx="29">
                  <c:v>2.9272932417375257E-2</c:v>
                </c:pt>
                <c:pt idx="30">
                  <c:v>2.588581345719343E-2</c:v>
                </c:pt>
                <c:pt idx="31">
                  <c:v>2.5780391835615764E-2</c:v>
                </c:pt>
                <c:pt idx="32">
                  <c:v>1.7443666500570117E-2</c:v>
                </c:pt>
                <c:pt idx="33">
                  <c:v>1.8648944938839042E-2</c:v>
                </c:pt>
                <c:pt idx="34">
                  <c:v>2.0202056390859407E-2</c:v>
                </c:pt>
                <c:pt idx="35">
                  <c:v>1.6597679484694601E-2</c:v>
                </c:pt>
                <c:pt idx="36">
                  <c:v>1.9565084150975381E-2</c:v>
                </c:pt>
                <c:pt idx="37">
                  <c:v>1.9389418647166701E-2</c:v>
                </c:pt>
                <c:pt idx="38">
                  <c:v>2.0146753613847108E-2</c:v>
                </c:pt>
                <c:pt idx="39">
                  <c:v>1.8578068532026946E-2</c:v>
                </c:pt>
                <c:pt idx="40">
                  <c:v>1.9192595598509232E-2</c:v>
                </c:pt>
                <c:pt idx="41">
                  <c:v>2.3537349654087651E-2</c:v>
                </c:pt>
                <c:pt idx="42">
                  <c:v>2.4818535918431674E-2</c:v>
                </c:pt>
                <c:pt idx="43">
                  <c:v>2.4630068771642508E-2</c:v>
                </c:pt>
                <c:pt idx="44">
                  <c:v>2.7453946891092512E-2</c:v>
                </c:pt>
                <c:pt idx="45">
                  <c:v>2.5544624734987587E-2</c:v>
                </c:pt>
                <c:pt idx="46">
                  <c:v>2.7231714172365824E-2</c:v>
                </c:pt>
                <c:pt idx="47">
                  <c:v>2.8649514499200862E-2</c:v>
                </c:pt>
                <c:pt idx="48">
                  <c:v>3.1429397464013575E-2</c:v>
                </c:pt>
                <c:pt idx="49">
                  <c:v>3.2687812846072632E-2</c:v>
                </c:pt>
                <c:pt idx="50">
                  <c:v>3.6649418578613174E-2</c:v>
                </c:pt>
                <c:pt idx="51">
                  <c:v>3.6610968066650248E-2</c:v>
                </c:pt>
                <c:pt idx="52">
                  <c:v>3.6341202734980767E-2</c:v>
                </c:pt>
                <c:pt idx="53">
                  <c:v>3.5773445378943107E-2</c:v>
                </c:pt>
                <c:pt idx="54">
                  <c:v>4.1217425622528663E-2</c:v>
                </c:pt>
                <c:pt idx="55">
                  <c:v>4.2389380939449113E-2</c:v>
                </c:pt>
                <c:pt idx="56">
                  <c:v>4.1084931888967717E-2</c:v>
                </c:pt>
                <c:pt idx="57">
                  <c:v>4.6504935415571422E-2</c:v>
                </c:pt>
                <c:pt idx="58">
                  <c:v>4.8546625751144594E-2</c:v>
                </c:pt>
                <c:pt idx="59">
                  <c:v>5.2170133767408616E-2</c:v>
                </c:pt>
                <c:pt idx="60">
                  <c:v>5.9935522986267427E-2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D1-6444-BAF2-A18F71EF3071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Scenarios'!$R$3:$R$63</c:f>
              <c:numCache>
                <c:formatCode>0.0000%</c:formatCode>
                <c:ptCount val="61"/>
                <c:pt idx="0">
                  <c:v>0.04</c:v>
                </c:pt>
                <c:pt idx="1">
                  <c:v>3.9168049847800077E-2</c:v>
                </c:pt>
                <c:pt idx="2">
                  <c:v>3.9737806147195839E-2</c:v>
                </c:pt>
                <c:pt idx="3">
                  <c:v>3.7847167241513741E-2</c:v>
                </c:pt>
                <c:pt idx="4">
                  <c:v>3.5814477297102743E-2</c:v>
                </c:pt>
                <c:pt idx="5">
                  <c:v>3.6543901108613074E-2</c:v>
                </c:pt>
                <c:pt idx="6">
                  <c:v>4.1360578943479019E-2</c:v>
                </c:pt>
                <c:pt idx="7">
                  <c:v>4.1360815134764112E-2</c:v>
                </c:pt>
                <c:pt idx="8">
                  <c:v>4.321868267594009E-2</c:v>
                </c:pt>
                <c:pt idx="9">
                  <c:v>4.3592483171243916E-2</c:v>
                </c:pt>
                <c:pt idx="10">
                  <c:v>4.2260962666392829E-2</c:v>
                </c:pt>
                <c:pt idx="11">
                  <c:v>4.2722350587915903E-2</c:v>
                </c:pt>
                <c:pt idx="12">
                  <c:v>4.1110487042595852E-2</c:v>
                </c:pt>
                <c:pt idx="13">
                  <c:v>3.6695087928473376E-2</c:v>
                </c:pt>
                <c:pt idx="14">
                  <c:v>3.5114221939630583E-2</c:v>
                </c:pt>
                <c:pt idx="15">
                  <c:v>3.5678583968435512E-2</c:v>
                </c:pt>
                <c:pt idx="16">
                  <c:v>3.1204800245536998E-2</c:v>
                </c:pt>
                <c:pt idx="17">
                  <c:v>2.9800994998447444E-2</c:v>
                </c:pt>
                <c:pt idx="18">
                  <c:v>2.8498820098805257E-2</c:v>
                </c:pt>
                <c:pt idx="19">
                  <c:v>3.1633196632741944E-2</c:v>
                </c:pt>
                <c:pt idx="20">
                  <c:v>3.4505156611986547E-2</c:v>
                </c:pt>
                <c:pt idx="21">
                  <c:v>3.5283541802049345E-2</c:v>
                </c:pt>
                <c:pt idx="22">
                  <c:v>2.7978040189273311E-2</c:v>
                </c:pt>
                <c:pt idx="23">
                  <c:v>3.1709252168050789E-2</c:v>
                </c:pt>
                <c:pt idx="24">
                  <c:v>3.1143512889282569E-2</c:v>
                </c:pt>
                <c:pt idx="25">
                  <c:v>3.1420621216259895E-2</c:v>
                </c:pt>
                <c:pt idx="26">
                  <c:v>3.1786132881241276E-2</c:v>
                </c:pt>
                <c:pt idx="27">
                  <c:v>2.6636754492919138E-2</c:v>
                </c:pt>
                <c:pt idx="28">
                  <c:v>2.8430460255094339E-2</c:v>
                </c:pt>
                <c:pt idx="29">
                  <c:v>2.9094081919783885E-2</c:v>
                </c:pt>
                <c:pt idx="30">
                  <c:v>2.9582079822765291E-2</c:v>
                </c:pt>
                <c:pt idx="31">
                  <c:v>2.7759904074898617E-2</c:v>
                </c:pt>
                <c:pt idx="32">
                  <c:v>2.964290897517043E-2</c:v>
                </c:pt>
                <c:pt idx="33">
                  <c:v>2.948075116997171E-2</c:v>
                </c:pt>
                <c:pt idx="34">
                  <c:v>3.1747567205275141E-2</c:v>
                </c:pt>
                <c:pt idx="35">
                  <c:v>3.6158262274342212E-2</c:v>
                </c:pt>
                <c:pt idx="36">
                  <c:v>3.7798510648908108E-2</c:v>
                </c:pt>
                <c:pt idx="37">
                  <c:v>3.2861584666228308E-2</c:v>
                </c:pt>
                <c:pt idx="38">
                  <c:v>3.7237644073004651E-2</c:v>
                </c:pt>
                <c:pt idx="39">
                  <c:v>3.9107895329010163E-2</c:v>
                </c:pt>
                <c:pt idx="40">
                  <c:v>4.366735543658274E-2</c:v>
                </c:pt>
                <c:pt idx="41">
                  <c:v>4.2223940149637006E-2</c:v>
                </c:pt>
                <c:pt idx="42">
                  <c:v>4.3114549667867624E-2</c:v>
                </c:pt>
                <c:pt idx="43">
                  <c:v>4.1840176656519082E-2</c:v>
                </c:pt>
                <c:pt idx="44">
                  <c:v>4.4342659016510431E-2</c:v>
                </c:pt>
                <c:pt idx="45">
                  <c:v>5.1300585515797324E-2</c:v>
                </c:pt>
                <c:pt idx="46">
                  <c:v>6.112522074672963E-2</c:v>
                </c:pt>
                <c:pt idx="47">
                  <c:v>5.7879869625725625E-2</c:v>
                </c:pt>
                <c:pt idx="48">
                  <c:v>6.071298849308418E-2</c:v>
                </c:pt>
                <c:pt idx="49">
                  <c:v>6.2749902318571527E-2</c:v>
                </c:pt>
                <c:pt idx="50">
                  <c:v>6.0797434412360886E-2</c:v>
                </c:pt>
                <c:pt idx="51">
                  <c:v>5.6154785094812941E-2</c:v>
                </c:pt>
                <c:pt idx="52">
                  <c:v>6.6876237219516743E-2</c:v>
                </c:pt>
                <c:pt idx="53">
                  <c:v>6.4726731318356531E-2</c:v>
                </c:pt>
                <c:pt idx="54">
                  <c:v>6.7311280864628217E-2</c:v>
                </c:pt>
                <c:pt idx="55">
                  <c:v>5.8319394814464007E-2</c:v>
                </c:pt>
                <c:pt idx="56">
                  <c:v>6.5005484876426156E-2</c:v>
                </c:pt>
                <c:pt idx="57">
                  <c:v>6.5276217068709674E-2</c:v>
                </c:pt>
                <c:pt idx="58">
                  <c:v>6.807719842373107E-2</c:v>
                </c:pt>
                <c:pt idx="59">
                  <c:v>6.0779806973927673E-2</c:v>
                </c:pt>
                <c:pt idx="60">
                  <c:v>5.9590701807081661E-2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D1-6444-BAF2-A18F71EF3071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Scenarios'!$S$3:$S$63</c:f>
              <c:numCache>
                <c:formatCode>0.0000%</c:formatCode>
                <c:ptCount val="61"/>
                <c:pt idx="0">
                  <c:v>0.04</c:v>
                </c:pt>
                <c:pt idx="1">
                  <c:v>4.024519151426021E-2</c:v>
                </c:pt>
                <c:pt idx="2">
                  <c:v>4.0271396201320746E-2</c:v>
                </c:pt>
                <c:pt idx="3">
                  <c:v>3.8850128353978337E-2</c:v>
                </c:pt>
                <c:pt idx="4">
                  <c:v>4.4043695958218117E-2</c:v>
                </c:pt>
                <c:pt idx="5">
                  <c:v>4.0949212026526689E-2</c:v>
                </c:pt>
                <c:pt idx="6">
                  <c:v>4.7097438476742665E-2</c:v>
                </c:pt>
                <c:pt idx="7">
                  <c:v>4.4512169389993521E-2</c:v>
                </c:pt>
                <c:pt idx="8">
                  <c:v>3.7477166844499345E-2</c:v>
                </c:pt>
                <c:pt idx="9">
                  <c:v>3.5909426496302722E-2</c:v>
                </c:pt>
                <c:pt idx="10">
                  <c:v>3.7775351726152269E-2</c:v>
                </c:pt>
                <c:pt idx="11">
                  <c:v>4.0311574977029641E-2</c:v>
                </c:pt>
                <c:pt idx="12">
                  <c:v>3.7930198816534949E-2</c:v>
                </c:pt>
                <c:pt idx="13">
                  <c:v>4.2038530315968686E-2</c:v>
                </c:pt>
                <c:pt idx="14">
                  <c:v>4.5277802026666654E-2</c:v>
                </c:pt>
                <c:pt idx="15">
                  <c:v>4.7205983414451994E-2</c:v>
                </c:pt>
                <c:pt idx="16">
                  <c:v>3.8869382775800938E-2</c:v>
                </c:pt>
                <c:pt idx="17">
                  <c:v>3.6287242859422295E-2</c:v>
                </c:pt>
                <c:pt idx="18">
                  <c:v>3.1934596818870467E-2</c:v>
                </c:pt>
                <c:pt idx="19">
                  <c:v>3.1250310697616059E-2</c:v>
                </c:pt>
                <c:pt idx="20">
                  <c:v>3.0369890108421928E-2</c:v>
                </c:pt>
                <c:pt idx="21">
                  <c:v>2.916276229380679E-2</c:v>
                </c:pt>
                <c:pt idx="22">
                  <c:v>3.047961757431665E-2</c:v>
                </c:pt>
                <c:pt idx="23">
                  <c:v>2.9757754260424586E-2</c:v>
                </c:pt>
                <c:pt idx="24">
                  <c:v>2.9153765320122278E-2</c:v>
                </c:pt>
                <c:pt idx="25">
                  <c:v>2.2807221437314805E-2</c:v>
                </c:pt>
                <c:pt idx="26">
                  <c:v>2.490882754681098E-2</c:v>
                </c:pt>
                <c:pt idx="27">
                  <c:v>2.6747015383248099E-2</c:v>
                </c:pt>
                <c:pt idx="28">
                  <c:v>2.3929859652415876E-2</c:v>
                </c:pt>
                <c:pt idx="29">
                  <c:v>2.2241759642134113E-2</c:v>
                </c:pt>
                <c:pt idx="30">
                  <c:v>2.7120397334157564E-2</c:v>
                </c:pt>
                <c:pt idx="31">
                  <c:v>2.4388729094694778E-2</c:v>
                </c:pt>
                <c:pt idx="32">
                  <c:v>2.5630021801719152E-2</c:v>
                </c:pt>
                <c:pt idx="33">
                  <c:v>2.6577962956986015E-2</c:v>
                </c:pt>
                <c:pt idx="34">
                  <c:v>2.9219297551059321E-2</c:v>
                </c:pt>
                <c:pt idx="35">
                  <c:v>2.8989094235119771E-2</c:v>
                </c:pt>
                <c:pt idx="36">
                  <c:v>2.7391650796131154E-2</c:v>
                </c:pt>
                <c:pt idx="37">
                  <c:v>3.0857200923684887E-2</c:v>
                </c:pt>
                <c:pt idx="38">
                  <c:v>3.1879488810961365E-2</c:v>
                </c:pt>
                <c:pt idx="39">
                  <c:v>3.5682710650422333E-2</c:v>
                </c:pt>
                <c:pt idx="40">
                  <c:v>3.6705349062220817E-2</c:v>
                </c:pt>
                <c:pt idx="41">
                  <c:v>3.6285897908248557E-2</c:v>
                </c:pt>
                <c:pt idx="42">
                  <c:v>3.6762268848403647E-2</c:v>
                </c:pt>
                <c:pt idx="43">
                  <c:v>3.7358346662484901E-2</c:v>
                </c:pt>
                <c:pt idx="44">
                  <c:v>3.2396552036201023E-2</c:v>
                </c:pt>
                <c:pt idx="45">
                  <c:v>3.4853183318395389E-2</c:v>
                </c:pt>
                <c:pt idx="46">
                  <c:v>4.0470227539334991E-2</c:v>
                </c:pt>
                <c:pt idx="47">
                  <c:v>2.944318385552646E-2</c:v>
                </c:pt>
                <c:pt idx="48">
                  <c:v>2.8721912584101301E-2</c:v>
                </c:pt>
                <c:pt idx="49">
                  <c:v>3.2092490390142225E-2</c:v>
                </c:pt>
                <c:pt idx="50">
                  <c:v>2.6792731850537967E-2</c:v>
                </c:pt>
                <c:pt idx="51">
                  <c:v>2.4626403755821695E-2</c:v>
                </c:pt>
                <c:pt idx="52">
                  <c:v>2.4660213167269657E-2</c:v>
                </c:pt>
                <c:pt idx="53">
                  <c:v>2.3968908076029728E-2</c:v>
                </c:pt>
                <c:pt idx="54">
                  <c:v>2.2784690522330429E-2</c:v>
                </c:pt>
                <c:pt idx="55">
                  <c:v>2.3192005973512633E-2</c:v>
                </c:pt>
                <c:pt idx="56">
                  <c:v>2.1591203813148663E-2</c:v>
                </c:pt>
                <c:pt idx="57">
                  <c:v>2.2694522443030773E-2</c:v>
                </c:pt>
                <c:pt idx="58">
                  <c:v>2.680642077283809E-2</c:v>
                </c:pt>
                <c:pt idx="59">
                  <c:v>2.7106970230626738E-2</c:v>
                </c:pt>
                <c:pt idx="60">
                  <c:v>2.6416286385066875E-2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D1-6444-BAF2-A18F71EF3071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Scenarios'!$T$3:$T$63</c:f>
              <c:numCache>
                <c:formatCode>0.0000%</c:formatCode>
                <c:ptCount val="61"/>
                <c:pt idx="0">
                  <c:v>0.04</c:v>
                </c:pt>
                <c:pt idx="1">
                  <c:v>4.8026553503180164E-2</c:v>
                </c:pt>
                <c:pt idx="2">
                  <c:v>4.7015379849633249E-2</c:v>
                </c:pt>
                <c:pt idx="3">
                  <c:v>4.7314602004228157E-2</c:v>
                </c:pt>
                <c:pt idx="4">
                  <c:v>4.0178412395647761E-2</c:v>
                </c:pt>
                <c:pt idx="5">
                  <c:v>4.1142963792359662E-2</c:v>
                </c:pt>
                <c:pt idx="6">
                  <c:v>3.2731553139466303E-2</c:v>
                </c:pt>
                <c:pt idx="7">
                  <c:v>3.2556360196464941E-2</c:v>
                </c:pt>
                <c:pt idx="8">
                  <c:v>3.3360814327913046E-2</c:v>
                </c:pt>
                <c:pt idx="9">
                  <c:v>3.0915280615928818E-2</c:v>
                </c:pt>
                <c:pt idx="10">
                  <c:v>3.5087318458171382E-2</c:v>
                </c:pt>
                <c:pt idx="11">
                  <c:v>3.2928544658190347E-2</c:v>
                </c:pt>
                <c:pt idx="12">
                  <c:v>3.3723358792849809E-2</c:v>
                </c:pt>
                <c:pt idx="13">
                  <c:v>3.5097306470121617E-2</c:v>
                </c:pt>
                <c:pt idx="14">
                  <c:v>3.437843682128866E-2</c:v>
                </c:pt>
                <c:pt idx="15">
                  <c:v>3.8554502771250138E-2</c:v>
                </c:pt>
                <c:pt idx="16">
                  <c:v>3.4829191823332856E-2</c:v>
                </c:pt>
                <c:pt idx="17">
                  <c:v>3.4891271728027001E-2</c:v>
                </c:pt>
                <c:pt idx="18">
                  <c:v>3.2231078553560076E-2</c:v>
                </c:pt>
                <c:pt idx="19">
                  <c:v>3.5340419452964456E-2</c:v>
                </c:pt>
                <c:pt idx="20">
                  <c:v>3.3810242038851065E-2</c:v>
                </c:pt>
                <c:pt idx="21">
                  <c:v>3.2261556134787608E-2</c:v>
                </c:pt>
                <c:pt idx="22">
                  <c:v>3.1097405562688508E-2</c:v>
                </c:pt>
                <c:pt idx="23">
                  <c:v>3.0944342589820501E-2</c:v>
                </c:pt>
                <c:pt idx="24">
                  <c:v>2.6912774284821847E-2</c:v>
                </c:pt>
                <c:pt idx="25">
                  <c:v>2.8901708279372534E-2</c:v>
                </c:pt>
                <c:pt idx="26">
                  <c:v>3.2670634260618614E-2</c:v>
                </c:pt>
                <c:pt idx="27">
                  <c:v>3.6704037077482966E-2</c:v>
                </c:pt>
                <c:pt idx="28">
                  <c:v>3.6407961640788425E-2</c:v>
                </c:pt>
                <c:pt idx="29">
                  <c:v>3.480519495673718E-2</c:v>
                </c:pt>
                <c:pt idx="30">
                  <c:v>3.4040802450527881E-2</c:v>
                </c:pt>
                <c:pt idx="31">
                  <c:v>3.6630754687850098E-2</c:v>
                </c:pt>
                <c:pt idx="32">
                  <c:v>3.9195022524653449E-2</c:v>
                </c:pt>
                <c:pt idx="33">
                  <c:v>3.5464968139617359E-2</c:v>
                </c:pt>
                <c:pt idx="34">
                  <c:v>3.3814390152820825E-2</c:v>
                </c:pt>
                <c:pt idx="35">
                  <c:v>3.6822782884224338E-2</c:v>
                </c:pt>
                <c:pt idx="36">
                  <c:v>4.1392231944641582E-2</c:v>
                </c:pt>
                <c:pt idx="37">
                  <c:v>4.116718719965861E-2</c:v>
                </c:pt>
                <c:pt idx="38">
                  <c:v>3.3711733078379817E-2</c:v>
                </c:pt>
                <c:pt idx="39">
                  <c:v>3.4186529014748557E-2</c:v>
                </c:pt>
                <c:pt idx="40">
                  <c:v>3.5824523517268551E-2</c:v>
                </c:pt>
                <c:pt idx="41">
                  <c:v>3.8141363786364214E-2</c:v>
                </c:pt>
                <c:pt idx="42">
                  <c:v>3.5363982599555033E-2</c:v>
                </c:pt>
                <c:pt idx="43">
                  <c:v>4.2729549198463466E-2</c:v>
                </c:pt>
                <c:pt idx="44">
                  <c:v>4.0520037553466212E-2</c:v>
                </c:pt>
                <c:pt idx="45">
                  <c:v>3.9078171434463127E-2</c:v>
                </c:pt>
                <c:pt idx="46">
                  <c:v>3.8781482841733786E-2</c:v>
                </c:pt>
                <c:pt idx="47">
                  <c:v>3.695347218610872E-2</c:v>
                </c:pt>
                <c:pt idx="48">
                  <c:v>3.7622514320217591E-2</c:v>
                </c:pt>
                <c:pt idx="49">
                  <c:v>3.5474092988084918E-2</c:v>
                </c:pt>
                <c:pt idx="50">
                  <c:v>3.0589027126744276E-2</c:v>
                </c:pt>
                <c:pt idx="51">
                  <c:v>3.2814813610375547E-2</c:v>
                </c:pt>
                <c:pt idx="52">
                  <c:v>3.432654862290227E-2</c:v>
                </c:pt>
                <c:pt idx="53">
                  <c:v>3.670438464127964E-2</c:v>
                </c:pt>
                <c:pt idx="54">
                  <c:v>4.1273684891913798E-2</c:v>
                </c:pt>
                <c:pt idx="55">
                  <c:v>4.2430935645679187E-2</c:v>
                </c:pt>
                <c:pt idx="56">
                  <c:v>4.2754591833840075E-2</c:v>
                </c:pt>
                <c:pt idx="57">
                  <c:v>3.541883341196421E-2</c:v>
                </c:pt>
                <c:pt idx="58">
                  <c:v>3.4496841774599524E-2</c:v>
                </c:pt>
                <c:pt idx="59">
                  <c:v>3.6860623621913773E-2</c:v>
                </c:pt>
                <c:pt idx="60">
                  <c:v>4.0173013450880798E-2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9D1-6444-BAF2-A18F71EF3071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Scenarios'!$U$3:$U$63</c:f>
              <c:numCache>
                <c:formatCode>0.0000%</c:formatCode>
                <c:ptCount val="61"/>
                <c:pt idx="0">
                  <c:v>0.04</c:v>
                </c:pt>
                <c:pt idx="1">
                  <c:v>4.1074229417876154E-2</c:v>
                </c:pt>
                <c:pt idx="2">
                  <c:v>4.1097890415668491E-2</c:v>
                </c:pt>
                <c:pt idx="3">
                  <c:v>4.696518057059091E-2</c:v>
                </c:pt>
                <c:pt idx="4">
                  <c:v>4.6010434972149815E-2</c:v>
                </c:pt>
                <c:pt idx="5">
                  <c:v>4.3784985216269952E-2</c:v>
                </c:pt>
                <c:pt idx="6">
                  <c:v>4.2019069047416951E-2</c:v>
                </c:pt>
                <c:pt idx="7">
                  <c:v>4.0935568832643397E-2</c:v>
                </c:pt>
                <c:pt idx="8">
                  <c:v>3.9929893459346104E-2</c:v>
                </c:pt>
                <c:pt idx="9">
                  <c:v>3.9050274670549348E-2</c:v>
                </c:pt>
                <c:pt idx="10">
                  <c:v>3.0899966372002621E-2</c:v>
                </c:pt>
                <c:pt idx="11">
                  <c:v>3.1727471816231242E-2</c:v>
                </c:pt>
                <c:pt idx="12">
                  <c:v>3.4371855218436817E-2</c:v>
                </c:pt>
                <c:pt idx="13">
                  <c:v>3.2262424535167193E-2</c:v>
                </c:pt>
                <c:pt idx="14">
                  <c:v>3.2586993241590728E-2</c:v>
                </c:pt>
                <c:pt idx="15">
                  <c:v>3.5811935297816594E-2</c:v>
                </c:pt>
                <c:pt idx="16">
                  <c:v>4.5109057845047748E-2</c:v>
                </c:pt>
                <c:pt idx="17">
                  <c:v>4.7087664328763677E-2</c:v>
                </c:pt>
                <c:pt idx="18">
                  <c:v>5.1185697113069729E-2</c:v>
                </c:pt>
                <c:pt idx="19">
                  <c:v>4.4902987229555248E-2</c:v>
                </c:pt>
                <c:pt idx="20">
                  <c:v>4.4408347109106121E-2</c:v>
                </c:pt>
                <c:pt idx="21">
                  <c:v>4.5868786087414862E-2</c:v>
                </c:pt>
                <c:pt idx="22">
                  <c:v>4.5608422041932779E-2</c:v>
                </c:pt>
                <c:pt idx="23">
                  <c:v>4.8519487370099326E-2</c:v>
                </c:pt>
                <c:pt idx="24">
                  <c:v>4.5592122526297782E-2</c:v>
                </c:pt>
                <c:pt idx="25">
                  <c:v>4.8244295626106715E-2</c:v>
                </c:pt>
                <c:pt idx="26">
                  <c:v>4.4522544983663183E-2</c:v>
                </c:pt>
                <c:pt idx="27">
                  <c:v>4.5928505130467014E-2</c:v>
                </c:pt>
                <c:pt idx="28">
                  <c:v>3.7638195127390958E-2</c:v>
                </c:pt>
                <c:pt idx="29">
                  <c:v>2.8725374544992372E-2</c:v>
                </c:pt>
                <c:pt idx="30">
                  <c:v>2.7256577996188833E-2</c:v>
                </c:pt>
                <c:pt idx="31">
                  <c:v>2.9284408791993288E-2</c:v>
                </c:pt>
                <c:pt idx="32">
                  <c:v>2.9241506668844969E-2</c:v>
                </c:pt>
                <c:pt idx="33">
                  <c:v>3.0607744355318576E-2</c:v>
                </c:pt>
                <c:pt idx="34">
                  <c:v>2.8622799506874338E-2</c:v>
                </c:pt>
                <c:pt idx="35">
                  <c:v>3.5308176405140571E-2</c:v>
                </c:pt>
                <c:pt idx="36">
                  <c:v>4.4635627359743649E-2</c:v>
                </c:pt>
                <c:pt idx="37">
                  <c:v>4.7240491188751142E-2</c:v>
                </c:pt>
                <c:pt idx="38">
                  <c:v>4.2258000251037743E-2</c:v>
                </c:pt>
                <c:pt idx="39">
                  <c:v>4.0937277468040531E-2</c:v>
                </c:pt>
                <c:pt idx="40">
                  <c:v>4.3616216167375758E-2</c:v>
                </c:pt>
                <c:pt idx="41">
                  <c:v>4.3760841919076698E-2</c:v>
                </c:pt>
                <c:pt idx="42">
                  <c:v>4.8304502211334276E-2</c:v>
                </c:pt>
                <c:pt idx="43">
                  <c:v>4.896396469911464E-2</c:v>
                </c:pt>
                <c:pt idx="44">
                  <c:v>3.9480754176340643E-2</c:v>
                </c:pt>
                <c:pt idx="45">
                  <c:v>3.9821247835503608E-2</c:v>
                </c:pt>
                <c:pt idx="46">
                  <c:v>3.9696690514936031E-2</c:v>
                </c:pt>
                <c:pt idx="47">
                  <c:v>4.2878720138090583E-2</c:v>
                </c:pt>
                <c:pt idx="48">
                  <c:v>5.079532209827381E-2</c:v>
                </c:pt>
                <c:pt idx="49">
                  <c:v>4.8425611922521393E-2</c:v>
                </c:pt>
                <c:pt idx="50">
                  <c:v>4.4777238273490699E-2</c:v>
                </c:pt>
                <c:pt idx="51">
                  <c:v>4.8148640338273929E-2</c:v>
                </c:pt>
                <c:pt idx="52">
                  <c:v>4.91336859972972E-2</c:v>
                </c:pt>
                <c:pt idx="53">
                  <c:v>4.971077528270447E-2</c:v>
                </c:pt>
                <c:pt idx="54">
                  <c:v>4.9401013858815311E-2</c:v>
                </c:pt>
                <c:pt idx="55">
                  <c:v>4.9399457481331219E-2</c:v>
                </c:pt>
                <c:pt idx="56">
                  <c:v>4.9592337465915973E-2</c:v>
                </c:pt>
                <c:pt idx="57">
                  <c:v>5.2132903139506026E-2</c:v>
                </c:pt>
                <c:pt idx="58">
                  <c:v>5.2978406691135564E-2</c:v>
                </c:pt>
                <c:pt idx="59">
                  <c:v>5.2341066317737252E-2</c:v>
                </c:pt>
                <c:pt idx="60">
                  <c:v>5.4666265833760552E-2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D1-6444-BAF2-A18F71EF3071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Scenarios'!$V$3:$V$63</c:f>
              <c:numCache>
                <c:formatCode>0.0000%</c:formatCode>
                <c:ptCount val="61"/>
                <c:pt idx="0">
                  <c:v>0.04</c:v>
                </c:pt>
                <c:pt idx="1">
                  <c:v>4.1515690663985104E-2</c:v>
                </c:pt>
                <c:pt idx="2">
                  <c:v>4.4328773623128336E-2</c:v>
                </c:pt>
                <c:pt idx="3">
                  <c:v>4.461064309240606E-2</c:v>
                </c:pt>
                <c:pt idx="4">
                  <c:v>4.4385438806228979E-2</c:v>
                </c:pt>
                <c:pt idx="5">
                  <c:v>4.7599612151240457E-2</c:v>
                </c:pt>
                <c:pt idx="6">
                  <c:v>4.8566961161071918E-2</c:v>
                </c:pt>
                <c:pt idx="7">
                  <c:v>4.0871310730750843E-2</c:v>
                </c:pt>
                <c:pt idx="8">
                  <c:v>4.1718394057827096E-2</c:v>
                </c:pt>
                <c:pt idx="9">
                  <c:v>4.1731336152893671E-2</c:v>
                </c:pt>
                <c:pt idx="10">
                  <c:v>4.3681726528932117E-2</c:v>
                </c:pt>
                <c:pt idx="11">
                  <c:v>4.4449556930702301E-2</c:v>
                </c:pt>
                <c:pt idx="12">
                  <c:v>4.9408650579846419E-2</c:v>
                </c:pt>
                <c:pt idx="13">
                  <c:v>4.9688390305699839E-2</c:v>
                </c:pt>
                <c:pt idx="14">
                  <c:v>5.4447684521410369E-2</c:v>
                </c:pt>
                <c:pt idx="15">
                  <c:v>5.9266972319442141E-2</c:v>
                </c:pt>
                <c:pt idx="16">
                  <c:v>5.2304948232639148E-2</c:v>
                </c:pt>
                <c:pt idx="17">
                  <c:v>4.6350360747772171E-2</c:v>
                </c:pt>
                <c:pt idx="18">
                  <c:v>4.5519490026602237E-2</c:v>
                </c:pt>
                <c:pt idx="19">
                  <c:v>4.4850346103306342E-2</c:v>
                </c:pt>
                <c:pt idx="20">
                  <c:v>3.8597435939369831E-2</c:v>
                </c:pt>
                <c:pt idx="21">
                  <c:v>3.9799579833552132E-2</c:v>
                </c:pt>
                <c:pt idx="22">
                  <c:v>3.9785753353991725E-2</c:v>
                </c:pt>
                <c:pt idx="23">
                  <c:v>4.2119966179086164E-2</c:v>
                </c:pt>
                <c:pt idx="24">
                  <c:v>4.2876876780808863E-2</c:v>
                </c:pt>
                <c:pt idx="25">
                  <c:v>4.018093776493311E-2</c:v>
                </c:pt>
                <c:pt idx="26">
                  <c:v>3.5195308209107573E-2</c:v>
                </c:pt>
                <c:pt idx="27">
                  <c:v>3.1716690633603703E-2</c:v>
                </c:pt>
                <c:pt idx="28">
                  <c:v>3.4934017809826648E-2</c:v>
                </c:pt>
                <c:pt idx="29">
                  <c:v>3.4577815171259269E-2</c:v>
                </c:pt>
                <c:pt idx="30">
                  <c:v>3.405484452233036E-2</c:v>
                </c:pt>
                <c:pt idx="31">
                  <c:v>3.4842966657141747E-2</c:v>
                </c:pt>
                <c:pt idx="32">
                  <c:v>2.9425770555092448E-2</c:v>
                </c:pt>
                <c:pt idx="33">
                  <c:v>2.6841273531620122E-2</c:v>
                </c:pt>
                <c:pt idx="34">
                  <c:v>2.7419800537712577E-2</c:v>
                </c:pt>
                <c:pt idx="35">
                  <c:v>2.4778092472185355E-2</c:v>
                </c:pt>
                <c:pt idx="36">
                  <c:v>2.5712832929054723E-2</c:v>
                </c:pt>
                <c:pt idx="37">
                  <c:v>2.6237589621977839E-2</c:v>
                </c:pt>
                <c:pt idx="38">
                  <c:v>3.0485447512545505E-2</c:v>
                </c:pt>
                <c:pt idx="39">
                  <c:v>2.6444103610954065E-2</c:v>
                </c:pt>
                <c:pt idx="40">
                  <c:v>2.5095662236869865E-2</c:v>
                </c:pt>
                <c:pt idx="41">
                  <c:v>2.6587757353644541E-2</c:v>
                </c:pt>
                <c:pt idx="42">
                  <c:v>2.510740313702544E-2</c:v>
                </c:pt>
                <c:pt idx="43">
                  <c:v>2.7696434033259956E-2</c:v>
                </c:pt>
                <c:pt idx="44">
                  <c:v>2.9213029928219322E-2</c:v>
                </c:pt>
                <c:pt idx="45">
                  <c:v>2.7953785342029604E-2</c:v>
                </c:pt>
                <c:pt idx="46">
                  <c:v>3.0704305146177991E-2</c:v>
                </c:pt>
                <c:pt idx="47">
                  <c:v>2.7759706124185487E-2</c:v>
                </c:pt>
                <c:pt idx="48">
                  <c:v>3.1956781379582973E-2</c:v>
                </c:pt>
                <c:pt idx="49">
                  <c:v>3.245402343849698E-2</c:v>
                </c:pt>
                <c:pt idx="50">
                  <c:v>2.8755629898105314E-2</c:v>
                </c:pt>
                <c:pt idx="51">
                  <c:v>2.6361612565376363E-2</c:v>
                </c:pt>
                <c:pt idx="52">
                  <c:v>2.8318993926024289E-2</c:v>
                </c:pt>
                <c:pt idx="53">
                  <c:v>3.3123189523626015E-2</c:v>
                </c:pt>
                <c:pt idx="54">
                  <c:v>3.4310428796832215E-2</c:v>
                </c:pt>
                <c:pt idx="55">
                  <c:v>3.5801306319782684E-2</c:v>
                </c:pt>
                <c:pt idx="56">
                  <c:v>2.8411233359528141E-2</c:v>
                </c:pt>
                <c:pt idx="57">
                  <c:v>2.5433519939296705E-2</c:v>
                </c:pt>
                <c:pt idx="58">
                  <c:v>2.289073226128566E-2</c:v>
                </c:pt>
                <c:pt idx="59">
                  <c:v>2.3080613710702507E-2</c:v>
                </c:pt>
                <c:pt idx="60">
                  <c:v>2.5240342868401211E-2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9D1-6444-BAF2-A18F71EF3071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Scenarios'!$W$3:$W$63</c:f>
              <c:numCache>
                <c:formatCode>0.0000%</c:formatCode>
                <c:ptCount val="61"/>
                <c:pt idx="0">
                  <c:v>0.04</c:v>
                </c:pt>
                <c:pt idx="1">
                  <c:v>4.366938885825971E-2</c:v>
                </c:pt>
                <c:pt idx="2">
                  <c:v>4.3344724439275797E-2</c:v>
                </c:pt>
                <c:pt idx="3">
                  <c:v>3.6768496550609556E-2</c:v>
                </c:pt>
                <c:pt idx="4">
                  <c:v>3.8486156252747449E-2</c:v>
                </c:pt>
                <c:pt idx="5">
                  <c:v>3.9195715766027442E-2</c:v>
                </c:pt>
                <c:pt idx="6">
                  <c:v>3.796955061474637E-2</c:v>
                </c:pt>
                <c:pt idx="7">
                  <c:v>3.7827203612241227E-2</c:v>
                </c:pt>
                <c:pt idx="8">
                  <c:v>4.0434122070497729E-2</c:v>
                </c:pt>
                <c:pt idx="9">
                  <c:v>4.2049878905021376E-2</c:v>
                </c:pt>
                <c:pt idx="10">
                  <c:v>3.6005884746120806E-2</c:v>
                </c:pt>
                <c:pt idx="11">
                  <c:v>3.7169194173794814E-2</c:v>
                </c:pt>
                <c:pt idx="12">
                  <c:v>3.4895434616068713E-2</c:v>
                </c:pt>
                <c:pt idx="13">
                  <c:v>3.1687922802480326E-2</c:v>
                </c:pt>
                <c:pt idx="14">
                  <c:v>3.3594692548708741E-2</c:v>
                </c:pt>
                <c:pt idx="15">
                  <c:v>3.2667009768877618E-2</c:v>
                </c:pt>
                <c:pt idx="16">
                  <c:v>3.6980880272842381E-2</c:v>
                </c:pt>
                <c:pt idx="17">
                  <c:v>4.3078947818920965E-2</c:v>
                </c:pt>
                <c:pt idx="18">
                  <c:v>4.806466343019393E-2</c:v>
                </c:pt>
                <c:pt idx="19">
                  <c:v>5.1021075952757171E-2</c:v>
                </c:pt>
                <c:pt idx="20">
                  <c:v>5.2099605215470336E-2</c:v>
                </c:pt>
                <c:pt idx="21">
                  <c:v>5.7348158716720443E-2</c:v>
                </c:pt>
                <c:pt idx="22">
                  <c:v>5.5557792294925183E-2</c:v>
                </c:pt>
                <c:pt idx="23">
                  <c:v>4.9209632045329459E-2</c:v>
                </c:pt>
                <c:pt idx="24">
                  <c:v>4.8476371237409568E-2</c:v>
                </c:pt>
                <c:pt idx="25">
                  <c:v>4.2094784169355949E-2</c:v>
                </c:pt>
                <c:pt idx="26">
                  <c:v>4.4296777515845535E-2</c:v>
                </c:pt>
                <c:pt idx="27">
                  <c:v>4.2700842015994805E-2</c:v>
                </c:pt>
                <c:pt idx="28">
                  <c:v>4.2057132694645283E-2</c:v>
                </c:pt>
                <c:pt idx="29">
                  <c:v>4.5176612507794027E-2</c:v>
                </c:pt>
                <c:pt idx="30">
                  <c:v>4.093575129236713E-2</c:v>
                </c:pt>
                <c:pt idx="31">
                  <c:v>4.2773395113555837E-2</c:v>
                </c:pt>
                <c:pt idx="32">
                  <c:v>4.0573147388834233E-2</c:v>
                </c:pt>
                <c:pt idx="33">
                  <c:v>4.1044701067294923E-2</c:v>
                </c:pt>
                <c:pt idx="34">
                  <c:v>4.201259958207669E-2</c:v>
                </c:pt>
                <c:pt idx="35">
                  <c:v>4.5241761779789114E-2</c:v>
                </c:pt>
                <c:pt idx="36">
                  <c:v>4.0446310628636656E-2</c:v>
                </c:pt>
                <c:pt idx="37">
                  <c:v>4.6011215466314821E-2</c:v>
                </c:pt>
                <c:pt idx="38">
                  <c:v>4.759391946365725E-2</c:v>
                </c:pt>
                <c:pt idx="39">
                  <c:v>4.59453412119308E-2</c:v>
                </c:pt>
                <c:pt idx="40">
                  <c:v>4.8258082744364397E-2</c:v>
                </c:pt>
                <c:pt idx="41">
                  <c:v>5.0710142086958544E-2</c:v>
                </c:pt>
                <c:pt idx="42">
                  <c:v>4.7309145102339689E-2</c:v>
                </c:pt>
                <c:pt idx="43">
                  <c:v>4.975068422898956E-2</c:v>
                </c:pt>
                <c:pt idx="44">
                  <c:v>4.6029185290733639E-2</c:v>
                </c:pt>
                <c:pt idx="45">
                  <c:v>4.6043447331658618E-2</c:v>
                </c:pt>
                <c:pt idx="46">
                  <c:v>4.4251288863190262E-2</c:v>
                </c:pt>
                <c:pt idx="47">
                  <c:v>3.6691965896057381E-2</c:v>
                </c:pt>
                <c:pt idx="48">
                  <c:v>3.6258932241765289E-2</c:v>
                </c:pt>
                <c:pt idx="49">
                  <c:v>3.4341480910090864E-2</c:v>
                </c:pt>
                <c:pt idx="50">
                  <c:v>3.0933227564471127E-2</c:v>
                </c:pt>
                <c:pt idx="51">
                  <c:v>3.2823298357162474E-2</c:v>
                </c:pt>
                <c:pt idx="52">
                  <c:v>3.3895473898228466E-2</c:v>
                </c:pt>
                <c:pt idx="53">
                  <c:v>2.9461805302626019E-2</c:v>
                </c:pt>
                <c:pt idx="54">
                  <c:v>2.9714773489134625E-2</c:v>
                </c:pt>
                <c:pt idx="55">
                  <c:v>3.3294746269528046E-2</c:v>
                </c:pt>
                <c:pt idx="56">
                  <c:v>3.7632038862096026E-2</c:v>
                </c:pt>
                <c:pt idx="57">
                  <c:v>4.1005195954340629E-2</c:v>
                </c:pt>
                <c:pt idx="58">
                  <c:v>4.0244221387604841E-2</c:v>
                </c:pt>
                <c:pt idx="59">
                  <c:v>4.8692735928593051E-2</c:v>
                </c:pt>
                <c:pt idx="60">
                  <c:v>5.4369404439814049E-2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D1-6444-BAF2-A18F71EF3071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Scenarios'!$X$3:$X$63</c:f>
              <c:numCache>
                <c:formatCode>0.0000%</c:formatCode>
                <c:ptCount val="61"/>
                <c:pt idx="0">
                  <c:v>0.04</c:v>
                </c:pt>
                <c:pt idx="1">
                  <c:v>4.8054818064803939E-2</c:v>
                </c:pt>
                <c:pt idx="2">
                  <c:v>4.735504583795256E-2</c:v>
                </c:pt>
                <c:pt idx="3">
                  <c:v>4.2569994173277483E-2</c:v>
                </c:pt>
                <c:pt idx="4">
                  <c:v>4.2195514937067032E-2</c:v>
                </c:pt>
                <c:pt idx="5">
                  <c:v>4.1918129133184538E-2</c:v>
                </c:pt>
                <c:pt idx="6">
                  <c:v>4.53904818719012E-2</c:v>
                </c:pt>
                <c:pt idx="7">
                  <c:v>4.1112987139401966E-2</c:v>
                </c:pt>
                <c:pt idx="8">
                  <c:v>3.889901153915365E-2</c:v>
                </c:pt>
                <c:pt idx="9">
                  <c:v>4.6046573370328525E-2</c:v>
                </c:pt>
                <c:pt idx="10">
                  <c:v>4.6144463964721563E-2</c:v>
                </c:pt>
                <c:pt idx="11">
                  <c:v>4.6785374514977919E-2</c:v>
                </c:pt>
                <c:pt idx="12">
                  <c:v>5.2394678245991186E-2</c:v>
                </c:pt>
                <c:pt idx="13">
                  <c:v>4.634942851944665E-2</c:v>
                </c:pt>
                <c:pt idx="14">
                  <c:v>4.7055670119152085E-2</c:v>
                </c:pt>
                <c:pt idx="15">
                  <c:v>4.7218204298685819E-2</c:v>
                </c:pt>
                <c:pt idx="16">
                  <c:v>4.4425955531623387E-2</c:v>
                </c:pt>
                <c:pt idx="17">
                  <c:v>4.5619041418579608E-2</c:v>
                </c:pt>
                <c:pt idx="18">
                  <c:v>4.0817089189583586E-2</c:v>
                </c:pt>
                <c:pt idx="19">
                  <c:v>4.3988318456943731E-2</c:v>
                </c:pt>
                <c:pt idx="20">
                  <c:v>3.9457799530320942E-2</c:v>
                </c:pt>
                <c:pt idx="21">
                  <c:v>3.6707266064932673E-2</c:v>
                </c:pt>
                <c:pt idx="22">
                  <c:v>3.5308109002254527E-2</c:v>
                </c:pt>
                <c:pt idx="23">
                  <c:v>3.4859653361236427E-2</c:v>
                </c:pt>
                <c:pt idx="24">
                  <c:v>2.9583295947591841E-2</c:v>
                </c:pt>
                <c:pt idx="25">
                  <c:v>3.2895115271520975E-2</c:v>
                </c:pt>
                <c:pt idx="26">
                  <c:v>3.6029524178731218E-2</c:v>
                </c:pt>
                <c:pt idx="27">
                  <c:v>3.6786117993685884E-2</c:v>
                </c:pt>
                <c:pt idx="28">
                  <c:v>3.3089854377240671E-2</c:v>
                </c:pt>
                <c:pt idx="29">
                  <c:v>3.7615690934125263E-2</c:v>
                </c:pt>
                <c:pt idx="30">
                  <c:v>3.6816632432143628E-2</c:v>
                </c:pt>
                <c:pt idx="31">
                  <c:v>3.9539396262945663E-2</c:v>
                </c:pt>
                <c:pt idx="32">
                  <c:v>3.9768385448541707E-2</c:v>
                </c:pt>
                <c:pt idx="33">
                  <c:v>4.2858905483029487E-2</c:v>
                </c:pt>
                <c:pt idx="34">
                  <c:v>5.0777457876525406E-2</c:v>
                </c:pt>
                <c:pt idx="35">
                  <c:v>5.0184158262998678E-2</c:v>
                </c:pt>
                <c:pt idx="36">
                  <c:v>4.5244281816397683E-2</c:v>
                </c:pt>
                <c:pt idx="37">
                  <c:v>4.7984949254682191E-2</c:v>
                </c:pt>
                <c:pt idx="38">
                  <c:v>4.4524218791674203E-2</c:v>
                </c:pt>
                <c:pt idx="39">
                  <c:v>4.0198857146409916E-2</c:v>
                </c:pt>
                <c:pt idx="40">
                  <c:v>3.7341987947102286E-2</c:v>
                </c:pt>
                <c:pt idx="41">
                  <c:v>3.5737765573062484E-2</c:v>
                </c:pt>
                <c:pt idx="42">
                  <c:v>3.6100104244856955E-2</c:v>
                </c:pt>
                <c:pt idx="43">
                  <c:v>3.1588532032054487E-2</c:v>
                </c:pt>
                <c:pt idx="44">
                  <c:v>3.910090479031153E-2</c:v>
                </c:pt>
                <c:pt idx="45">
                  <c:v>3.9306989853896475E-2</c:v>
                </c:pt>
                <c:pt idx="46">
                  <c:v>3.7721508609895753E-2</c:v>
                </c:pt>
                <c:pt idx="47">
                  <c:v>3.3987270537386656E-2</c:v>
                </c:pt>
                <c:pt idx="48">
                  <c:v>2.7899066509900511E-2</c:v>
                </c:pt>
                <c:pt idx="49">
                  <c:v>2.6869675101251635E-2</c:v>
                </c:pt>
                <c:pt idx="50">
                  <c:v>3.0506189981557231E-2</c:v>
                </c:pt>
                <c:pt idx="51">
                  <c:v>3.250479725730282E-2</c:v>
                </c:pt>
                <c:pt idx="52">
                  <c:v>3.742137443566048E-2</c:v>
                </c:pt>
                <c:pt idx="53">
                  <c:v>3.9705534497812778E-2</c:v>
                </c:pt>
                <c:pt idx="54">
                  <c:v>4.5013344519022905E-2</c:v>
                </c:pt>
                <c:pt idx="55">
                  <c:v>4.4887110707531104E-2</c:v>
                </c:pt>
                <c:pt idx="56">
                  <c:v>4.7878123103266279E-2</c:v>
                </c:pt>
                <c:pt idx="57">
                  <c:v>4.6544753060545029E-2</c:v>
                </c:pt>
                <c:pt idx="58">
                  <c:v>5.1682573877338205E-2</c:v>
                </c:pt>
                <c:pt idx="59">
                  <c:v>4.6781515501291698E-2</c:v>
                </c:pt>
                <c:pt idx="60">
                  <c:v>4.7757716700899892E-2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9D1-6444-BAF2-A18F71EF3071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Scenarios'!$Y$3:$Y$63</c:f>
              <c:numCache>
                <c:formatCode>0.0000%</c:formatCode>
                <c:ptCount val="61"/>
                <c:pt idx="0">
                  <c:v>0.04</c:v>
                </c:pt>
                <c:pt idx="1">
                  <c:v>3.1670775374779456E-2</c:v>
                </c:pt>
                <c:pt idx="2">
                  <c:v>3.1572015363837247E-2</c:v>
                </c:pt>
                <c:pt idx="3">
                  <c:v>3.5167263775121707E-2</c:v>
                </c:pt>
                <c:pt idx="4">
                  <c:v>2.9103632585768747E-2</c:v>
                </c:pt>
                <c:pt idx="5">
                  <c:v>2.3938395614606714E-2</c:v>
                </c:pt>
                <c:pt idx="6">
                  <c:v>2.5508586858888002E-2</c:v>
                </c:pt>
                <c:pt idx="7">
                  <c:v>2.9258352465884308E-2</c:v>
                </c:pt>
                <c:pt idx="8">
                  <c:v>2.9906503925586653E-2</c:v>
                </c:pt>
                <c:pt idx="9">
                  <c:v>3.078736873454993E-2</c:v>
                </c:pt>
                <c:pt idx="10">
                  <c:v>3.267975009772206E-2</c:v>
                </c:pt>
                <c:pt idx="11">
                  <c:v>2.8488968962185411E-2</c:v>
                </c:pt>
                <c:pt idx="12">
                  <c:v>2.9558741479187904E-2</c:v>
                </c:pt>
                <c:pt idx="13">
                  <c:v>3.0268884409721204E-2</c:v>
                </c:pt>
                <c:pt idx="14">
                  <c:v>3.2561598260407873E-2</c:v>
                </c:pt>
                <c:pt idx="15">
                  <c:v>3.3019266353737149E-2</c:v>
                </c:pt>
                <c:pt idx="16">
                  <c:v>2.5098268692594364E-2</c:v>
                </c:pt>
                <c:pt idx="17">
                  <c:v>2.4950764174956914E-2</c:v>
                </c:pt>
                <c:pt idx="18">
                  <c:v>2.7230414534517598E-2</c:v>
                </c:pt>
                <c:pt idx="19">
                  <c:v>2.563554428302391E-2</c:v>
                </c:pt>
                <c:pt idx="20">
                  <c:v>2.5117822073489362E-2</c:v>
                </c:pt>
                <c:pt idx="21">
                  <c:v>2.5580538839143952E-2</c:v>
                </c:pt>
                <c:pt idx="22">
                  <c:v>2.2176813104484199E-2</c:v>
                </c:pt>
                <c:pt idx="23">
                  <c:v>2.557056542606554E-2</c:v>
                </c:pt>
                <c:pt idx="24">
                  <c:v>2.2143605266484807E-2</c:v>
                </c:pt>
                <c:pt idx="25">
                  <c:v>2.2637307292359781E-2</c:v>
                </c:pt>
                <c:pt idx="26">
                  <c:v>2.163994427117143E-2</c:v>
                </c:pt>
                <c:pt idx="27">
                  <c:v>2.0081762563517416E-2</c:v>
                </c:pt>
                <c:pt idx="28">
                  <c:v>2.3018587822056218E-2</c:v>
                </c:pt>
                <c:pt idx="29">
                  <c:v>2.3669172496169712E-2</c:v>
                </c:pt>
                <c:pt idx="30">
                  <c:v>2.3310747749371953E-2</c:v>
                </c:pt>
                <c:pt idx="31">
                  <c:v>2.2585532791116796E-2</c:v>
                </c:pt>
                <c:pt idx="32">
                  <c:v>1.961296122419872E-2</c:v>
                </c:pt>
                <c:pt idx="33">
                  <c:v>2.0143802318693615E-2</c:v>
                </c:pt>
                <c:pt idx="34">
                  <c:v>1.8048051747324899E-2</c:v>
                </c:pt>
                <c:pt idx="35">
                  <c:v>1.6581250144619138E-2</c:v>
                </c:pt>
                <c:pt idx="36">
                  <c:v>1.7304521875493289E-2</c:v>
                </c:pt>
                <c:pt idx="37">
                  <c:v>2.1261420734563184E-2</c:v>
                </c:pt>
                <c:pt idx="38">
                  <c:v>2.7246752471031466E-2</c:v>
                </c:pt>
                <c:pt idx="39">
                  <c:v>2.3852361131586373E-2</c:v>
                </c:pt>
                <c:pt idx="40">
                  <c:v>2.6885798279451416E-2</c:v>
                </c:pt>
                <c:pt idx="41">
                  <c:v>2.5010788343813276E-2</c:v>
                </c:pt>
                <c:pt idx="42">
                  <c:v>2.3535631600199308E-2</c:v>
                </c:pt>
                <c:pt idx="43">
                  <c:v>2.8312204095816033E-2</c:v>
                </c:pt>
                <c:pt idx="44">
                  <c:v>2.8963012832434784E-2</c:v>
                </c:pt>
                <c:pt idx="45">
                  <c:v>2.7854733686572718E-2</c:v>
                </c:pt>
                <c:pt idx="46">
                  <c:v>3.1529359944585236E-2</c:v>
                </c:pt>
                <c:pt idx="47">
                  <c:v>2.7896046767501625E-2</c:v>
                </c:pt>
                <c:pt idx="48">
                  <c:v>2.6373551685027131E-2</c:v>
                </c:pt>
                <c:pt idx="49">
                  <c:v>2.6045410391786969E-2</c:v>
                </c:pt>
                <c:pt idx="50">
                  <c:v>2.372143662523174E-2</c:v>
                </c:pt>
                <c:pt idx="51">
                  <c:v>2.8245974527824451E-2</c:v>
                </c:pt>
                <c:pt idx="52">
                  <c:v>2.4194293627185306E-2</c:v>
                </c:pt>
                <c:pt idx="53">
                  <c:v>2.236486525619618E-2</c:v>
                </c:pt>
                <c:pt idx="54">
                  <c:v>2.1244653744983594E-2</c:v>
                </c:pt>
                <c:pt idx="55">
                  <c:v>1.9092996814681979E-2</c:v>
                </c:pt>
                <c:pt idx="56">
                  <c:v>1.8060486993053793E-2</c:v>
                </c:pt>
                <c:pt idx="57">
                  <c:v>1.9291633538298721E-2</c:v>
                </c:pt>
                <c:pt idx="58">
                  <c:v>1.9708520755334753E-2</c:v>
                </c:pt>
                <c:pt idx="59">
                  <c:v>2.1065471467856475E-2</c:v>
                </c:pt>
                <c:pt idx="60">
                  <c:v>2.0637744428166658E-2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D1-6444-BAF2-A18F71EF3071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Scenarios'!$Z$3:$Z$63</c:f>
              <c:numCache>
                <c:formatCode>0.0000%</c:formatCode>
                <c:ptCount val="61"/>
                <c:pt idx="0">
                  <c:v>0.04</c:v>
                </c:pt>
                <c:pt idx="1">
                  <c:v>3.4457318217949368E-2</c:v>
                </c:pt>
                <c:pt idx="2">
                  <c:v>3.9209093062592029E-2</c:v>
                </c:pt>
                <c:pt idx="3">
                  <c:v>4.331049800756049E-2</c:v>
                </c:pt>
                <c:pt idx="4">
                  <c:v>4.4342454117449914E-2</c:v>
                </c:pt>
                <c:pt idx="5">
                  <c:v>3.8338652440936066E-2</c:v>
                </c:pt>
                <c:pt idx="6">
                  <c:v>3.4776812188595879E-2</c:v>
                </c:pt>
                <c:pt idx="7">
                  <c:v>3.9176661455405236E-2</c:v>
                </c:pt>
                <c:pt idx="8">
                  <c:v>5.0453201885036478E-2</c:v>
                </c:pt>
                <c:pt idx="9">
                  <c:v>5.6631697115257895E-2</c:v>
                </c:pt>
                <c:pt idx="10">
                  <c:v>5.5972274923197937E-2</c:v>
                </c:pt>
                <c:pt idx="11">
                  <c:v>4.9306121151680628E-2</c:v>
                </c:pt>
                <c:pt idx="12">
                  <c:v>4.6594736165022584E-2</c:v>
                </c:pt>
                <c:pt idx="13">
                  <c:v>4.5554440541862813E-2</c:v>
                </c:pt>
                <c:pt idx="14">
                  <c:v>4.465759602984945E-2</c:v>
                </c:pt>
                <c:pt idx="15">
                  <c:v>4.4970348373673266E-2</c:v>
                </c:pt>
                <c:pt idx="16">
                  <c:v>4.7444880654835007E-2</c:v>
                </c:pt>
                <c:pt idx="17">
                  <c:v>4.5250423640817383E-2</c:v>
                </c:pt>
                <c:pt idx="18">
                  <c:v>4.5801074485372482E-2</c:v>
                </c:pt>
                <c:pt idx="19">
                  <c:v>4.5293180547475574E-2</c:v>
                </c:pt>
                <c:pt idx="20">
                  <c:v>4.4915761493423585E-2</c:v>
                </c:pt>
                <c:pt idx="21">
                  <c:v>5.0968733914699749E-2</c:v>
                </c:pt>
                <c:pt idx="22">
                  <c:v>5.037247737551994E-2</c:v>
                </c:pt>
                <c:pt idx="23">
                  <c:v>5.14119427577256E-2</c:v>
                </c:pt>
                <c:pt idx="24">
                  <c:v>5.2101269767995853E-2</c:v>
                </c:pt>
                <c:pt idx="25">
                  <c:v>4.8263082627337417E-2</c:v>
                </c:pt>
                <c:pt idx="26">
                  <c:v>4.5112612883165842E-2</c:v>
                </c:pt>
                <c:pt idx="27">
                  <c:v>4.2705329627995149E-2</c:v>
                </c:pt>
                <c:pt idx="28">
                  <c:v>3.5484154298714328E-2</c:v>
                </c:pt>
                <c:pt idx="29">
                  <c:v>3.1386932609680333E-2</c:v>
                </c:pt>
                <c:pt idx="30">
                  <c:v>3.3787796217560444E-2</c:v>
                </c:pt>
                <c:pt idx="31">
                  <c:v>3.1805332110084343E-2</c:v>
                </c:pt>
                <c:pt idx="32">
                  <c:v>3.2960940956607204E-2</c:v>
                </c:pt>
                <c:pt idx="33">
                  <c:v>3.1461283036473345E-2</c:v>
                </c:pt>
                <c:pt idx="34">
                  <c:v>3.3441925527876691E-2</c:v>
                </c:pt>
                <c:pt idx="35">
                  <c:v>3.6940772669920706E-2</c:v>
                </c:pt>
                <c:pt idx="36">
                  <c:v>4.3843981512147245E-2</c:v>
                </c:pt>
                <c:pt idx="37">
                  <c:v>4.3953676899115723E-2</c:v>
                </c:pt>
                <c:pt idx="38">
                  <c:v>3.8578719169070012E-2</c:v>
                </c:pt>
                <c:pt idx="39">
                  <c:v>3.5730208527977599E-2</c:v>
                </c:pt>
                <c:pt idx="40">
                  <c:v>4.0288190326928625E-2</c:v>
                </c:pt>
                <c:pt idx="41">
                  <c:v>3.88422541479626E-2</c:v>
                </c:pt>
                <c:pt idx="42">
                  <c:v>3.8354439865146604E-2</c:v>
                </c:pt>
                <c:pt idx="43">
                  <c:v>3.8543283055668738E-2</c:v>
                </c:pt>
                <c:pt idx="44">
                  <c:v>3.4334172138135735E-2</c:v>
                </c:pt>
                <c:pt idx="45">
                  <c:v>3.35296950575436E-2</c:v>
                </c:pt>
                <c:pt idx="46">
                  <c:v>3.3552903594423589E-2</c:v>
                </c:pt>
                <c:pt idx="47">
                  <c:v>3.365876465675114E-2</c:v>
                </c:pt>
                <c:pt idx="48">
                  <c:v>3.0309951837569432E-2</c:v>
                </c:pt>
                <c:pt idx="49">
                  <c:v>3.0763174322348048E-2</c:v>
                </c:pt>
                <c:pt idx="50">
                  <c:v>3.2591187390466653E-2</c:v>
                </c:pt>
                <c:pt idx="51">
                  <c:v>3.4884197580191692E-2</c:v>
                </c:pt>
                <c:pt idx="52">
                  <c:v>3.1435394930059202E-2</c:v>
                </c:pt>
                <c:pt idx="53">
                  <c:v>3.3118271579351183E-2</c:v>
                </c:pt>
                <c:pt idx="54">
                  <c:v>3.5319321800516473E-2</c:v>
                </c:pt>
                <c:pt idx="55">
                  <c:v>3.7706908747221379E-2</c:v>
                </c:pt>
                <c:pt idx="56">
                  <c:v>4.0658926781044658E-2</c:v>
                </c:pt>
                <c:pt idx="57">
                  <c:v>4.2257801636764201E-2</c:v>
                </c:pt>
                <c:pt idx="58">
                  <c:v>3.6733005559200414E-2</c:v>
                </c:pt>
                <c:pt idx="59">
                  <c:v>3.1475689426302564E-2</c:v>
                </c:pt>
                <c:pt idx="60">
                  <c:v>2.6662594839094934E-2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D1-6444-BAF2-A18F71EF3071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Scenarios'!$AA$3:$AA$63</c:f>
              <c:numCache>
                <c:formatCode>0.0000%</c:formatCode>
                <c:ptCount val="61"/>
                <c:pt idx="0">
                  <c:v>0.04</c:v>
                </c:pt>
                <c:pt idx="1">
                  <c:v>3.8438074896773596E-2</c:v>
                </c:pt>
                <c:pt idx="2">
                  <c:v>3.4554699142784286E-2</c:v>
                </c:pt>
                <c:pt idx="3">
                  <c:v>3.970549249167496E-2</c:v>
                </c:pt>
                <c:pt idx="4">
                  <c:v>3.9766427359227287E-2</c:v>
                </c:pt>
                <c:pt idx="5">
                  <c:v>4.3204452779226667E-2</c:v>
                </c:pt>
                <c:pt idx="6">
                  <c:v>4.8516862524450338E-2</c:v>
                </c:pt>
                <c:pt idx="7">
                  <c:v>5.0996512342846322E-2</c:v>
                </c:pt>
                <c:pt idx="8">
                  <c:v>4.7575967963136817E-2</c:v>
                </c:pt>
                <c:pt idx="9">
                  <c:v>4.6304215561802871E-2</c:v>
                </c:pt>
                <c:pt idx="10">
                  <c:v>4.9210533200421284E-2</c:v>
                </c:pt>
                <c:pt idx="11">
                  <c:v>4.8750351861903102E-2</c:v>
                </c:pt>
                <c:pt idx="12">
                  <c:v>4.1577735698316173E-2</c:v>
                </c:pt>
                <c:pt idx="13">
                  <c:v>3.799426285982526E-2</c:v>
                </c:pt>
                <c:pt idx="14">
                  <c:v>3.99932462123581E-2</c:v>
                </c:pt>
                <c:pt idx="15">
                  <c:v>4.2051087186723561E-2</c:v>
                </c:pt>
                <c:pt idx="16">
                  <c:v>3.9855099439155293E-2</c:v>
                </c:pt>
                <c:pt idx="17">
                  <c:v>4.176947465744598E-2</c:v>
                </c:pt>
                <c:pt idx="18">
                  <c:v>4.1726129713056642E-2</c:v>
                </c:pt>
                <c:pt idx="19">
                  <c:v>4.0902927875787407E-2</c:v>
                </c:pt>
                <c:pt idx="20">
                  <c:v>3.8673745224672817E-2</c:v>
                </c:pt>
                <c:pt idx="21">
                  <c:v>3.9900574816204987E-2</c:v>
                </c:pt>
                <c:pt idx="22">
                  <c:v>4.3871702287580062E-2</c:v>
                </c:pt>
                <c:pt idx="23">
                  <c:v>4.8103273952177832E-2</c:v>
                </c:pt>
                <c:pt idx="24">
                  <c:v>5.1883638633748765E-2</c:v>
                </c:pt>
                <c:pt idx="25">
                  <c:v>4.9664742966198494E-2</c:v>
                </c:pt>
                <c:pt idx="26">
                  <c:v>5.4402963478401296E-2</c:v>
                </c:pt>
                <c:pt idx="27">
                  <c:v>5.0358245014118466E-2</c:v>
                </c:pt>
                <c:pt idx="28">
                  <c:v>5.4082014805444674E-2</c:v>
                </c:pt>
                <c:pt idx="29">
                  <c:v>5.2900257713289385E-2</c:v>
                </c:pt>
                <c:pt idx="30">
                  <c:v>5.7634722572624704E-2</c:v>
                </c:pt>
                <c:pt idx="31">
                  <c:v>5.7452816487808644E-2</c:v>
                </c:pt>
                <c:pt idx="32">
                  <c:v>5.4903317839375083E-2</c:v>
                </c:pt>
                <c:pt idx="33">
                  <c:v>5.4653941275055552E-2</c:v>
                </c:pt>
                <c:pt idx="34">
                  <c:v>5.9734472187439436E-2</c:v>
                </c:pt>
                <c:pt idx="35">
                  <c:v>5.9909293665726733E-2</c:v>
                </c:pt>
                <c:pt idx="36">
                  <c:v>6.3263342225346644E-2</c:v>
                </c:pt>
                <c:pt idx="37">
                  <c:v>6.3903176670724413E-2</c:v>
                </c:pt>
                <c:pt idx="38">
                  <c:v>7.1892165654614065E-2</c:v>
                </c:pt>
                <c:pt idx="39">
                  <c:v>5.9347359634647615E-2</c:v>
                </c:pt>
                <c:pt idx="40">
                  <c:v>5.6090522015349399E-2</c:v>
                </c:pt>
                <c:pt idx="41">
                  <c:v>6.640547656508651E-2</c:v>
                </c:pt>
                <c:pt idx="42">
                  <c:v>6.7402859634088041E-2</c:v>
                </c:pt>
                <c:pt idx="43">
                  <c:v>7.1688567323543673E-2</c:v>
                </c:pt>
                <c:pt idx="44">
                  <c:v>7.2663188152038025E-2</c:v>
                </c:pt>
                <c:pt idx="45">
                  <c:v>7.9705424616981393E-2</c:v>
                </c:pt>
                <c:pt idx="46">
                  <c:v>7.8788631296270117E-2</c:v>
                </c:pt>
                <c:pt idx="47">
                  <c:v>7.8347324072073024E-2</c:v>
                </c:pt>
                <c:pt idx="48">
                  <c:v>7.7604545622230722E-2</c:v>
                </c:pt>
                <c:pt idx="49">
                  <c:v>8.2548498967378217E-2</c:v>
                </c:pt>
                <c:pt idx="50">
                  <c:v>8.3463368245545885E-2</c:v>
                </c:pt>
                <c:pt idx="51">
                  <c:v>8.8405272999110815E-2</c:v>
                </c:pt>
                <c:pt idx="52">
                  <c:v>8.3992175921793824E-2</c:v>
                </c:pt>
                <c:pt idx="53">
                  <c:v>7.86543743193725E-2</c:v>
                </c:pt>
                <c:pt idx="54">
                  <c:v>7.3511488887436444E-2</c:v>
                </c:pt>
                <c:pt idx="55">
                  <c:v>7.4070345491668174E-2</c:v>
                </c:pt>
                <c:pt idx="56">
                  <c:v>7.7247080537806753E-2</c:v>
                </c:pt>
                <c:pt idx="57">
                  <c:v>6.7641449918568561E-2</c:v>
                </c:pt>
                <c:pt idx="58">
                  <c:v>7.2746189730884481E-2</c:v>
                </c:pt>
                <c:pt idx="59">
                  <c:v>6.4913583822777593E-2</c:v>
                </c:pt>
                <c:pt idx="60">
                  <c:v>6.2304065869043947E-2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D1-6444-BAF2-A18F71EF3071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Scenarios'!$AB$3:$AB$63</c:f>
              <c:numCache>
                <c:formatCode>0.0000%</c:formatCode>
                <c:ptCount val="61"/>
                <c:pt idx="0">
                  <c:v>0.04</c:v>
                </c:pt>
                <c:pt idx="1">
                  <c:v>4.3683535534798361E-2</c:v>
                </c:pt>
                <c:pt idx="2">
                  <c:v>4.8208157495458794E-2</c:v>
                </c:pt>
                <c:pt idx="3">
                  <c:v>4.3988988980334501E-2</c:v>
                </c:pt>
                <c:pt idx="4">
                  <c:v>4.283507558827767E-2</c:v>
                </c:pt>
                <c:pt idx="5">
                  <c:v>4.4030628962859045E-2</c:v>
                </c:pt>
                <c:pt idx="6">
                  <c:v>3.8749617121468079E-2</c:v>
                </c:pt>
                <c:pt idx="7">
                  <c:v>3.9459440501459254E-2</c:v>
                </c:pt>
                <c:pt idx="8">
                  <c:v>3.8357609309067842E-2</c:v>
                </c:pt>
                <c:pt idx="9">
                  <c:v>3.7194976553703928E-2</c:v>
                </c:pt>
                <c:pt idx="10">
                  <c:v>4.0734721635386911E-2</c:v>
                </c:pt>
                <c:pt idx="11">
                  <c:v>3.8305762830470699E-2</c:v>
                </c:pt>
                <c:pt idx="12">
                  <c:v>4.0722442630775943E-2</c:v>
                </c:pt>
                <c:pt idx="13">
                  <c:v>4.3075772406292234E-2</c:v>
                </c:pt>
                <c:pt idx="14">
                  <c:v>4.2745280386128681E-2</c:v>
                </c:pt>
                <c:pt idx="15">
                  <c:v>4.4071094095563396E-2</c:v>
                </c:pt>
                <c:pt idx="16">
                  <c:v>4.6149915200511683E-2</c:v>
                </c:pt>
                <c:pt idx="17">
                  <c:v>4.2439623707042802E-2</c:v>
                </c:pt>
                <c:pt idx="18">
                  <c:v>3.5095047990592376E-2</c:v>
                </c:pt>
                <c:pt idx="19">
                  <c:v>3.8864124420537702E-2</c:v>
                </c:pt>
                <c:pt idx="20">
                  <c:v>4.0093024828754646E-2</c:v>
                </c:pt>
                <c:pt idx="21">
                  <c:v>4.109939880558313E-2</c:v>
                </c:pt>
                <c:pt idx="22">
                  <c:v>4.3736357627191302E-2</c:v>
                </c:pt>
                <c:pt idx="23">
                  <c:v>4.1565430771477743E-2</c:v>
                </c:pt>
                <c:pt idx="24">
                  <c:v>4.2139781303057192E-2</c:v>
                </c:pt>
                <c:pt idx="25">
                  <c:v>4.0496709786786773E-2</c:v>
                </c:pt>
                <c:pt idx="26">
                  <c:v>3.9116741127750279E-2</c:v>
                </c:pt>
                <c:pt idx="27">
                  <c:v>3.9584352965206189E-2</c:v>
                </c:pt>
                <c:pt idx="28">
                  <c:v>3.8743733136344528E-2</c:v>
                </c:pt>
                <c:pt idx="29">
                  <c:v>3.9484471712484308E-2</c:v>
                </c:pt>
                <c:pt idx="30">
                  <c:v>4.7404006867970437E-2</c:v>
                </c:pt>
                <c:pt idx="31">
                  <c:v>4.3737363785177584E-2</c:v>
                </c:pt>
                <c:pt idx="32">
                  <c:v>4.4752012565596862E-2</c:v>
                </c:pt>
                <c:pt idx="33">
                  <c:v>4.9974779455043611E-2</c:v>
                </c:pt>
                <c:pt idx="34">
                  <c:v>5.5861715388651638E-2</c:v>
                </c:pt>
                <c:pt idx="35">
                  <c:v>5.094742845903652E-2</c:v>
                </c:pt>
                <c:pt idx="36">
                  <c:v>5.3983005013609968E-2</c:v>
                </c:pt>
                <c:pt idx="37">
                  <c:v>5.4039856764884771E-2</c:v>
                </c:pt>
                <c:pt idx="38">
                  <c:v>5.3334770208672187E-2</c:v>
                </c:pt>
                <c:pt idx="39">
                  <c:v>5.1897209671856549E-2</c:v>
                </c:pt>
                <c:pt idx="40">
                  <c:v>5.2308234472851822E-2</c:v>
                </c:pt>
                <c:pt idx="41">
                  <c:v>5.088372463710919E-2</c:v>
                </c:pt>
                <c:pt idx="42">
                  <c:v>4.8520708468789767E-2</c:v>
                </c:pt>
                <c:pt idx="43">
                  <c:v>5.3009135585544119E-2</c:v>
                </c:pt>
                <c:pt idx="44">
                  <c:v>5.0406395426033458E-2</c:v>
                </c:pt>
                <c:pt idx="45">
                  <c:v>5.1655201075883866E-2</c:v>
                </c:pt>
                <c:pt idx="46">
                  <c:v>4.9977317916472211E-2</c:v>
                </c:pt>
                <c:pt idx="47">
                  <c:v>4.7877410528603469E-2</c:v>
                </c:pt>
                <c:pt idx="48">
                  <c:v>4.7396942242789418E-2</c:v>
                </c:pt>
                <c:pt idx="49">
                  <c:v>5.0539363975139744E-2</c:v>
                </c:pt>
                <c:pt idx="50">
                  <c:v>5.34908555006317E-2</c:v>
                </c:pt>
                <c:pt idx="51">
                  <c:v>5.8984584348232401E-2</c:v>
                </c:pt>
                <c:pt idx="52">
                  <c:v>5.8331878199192638E-2</c:v>
                </c:pt>
                <c:pt idx="53">
                  <c:v>5.9754681906420644E-2</c:v>
                </c:pt>
                <c:pt idx="54">
                  <c:v>5.0981664641029011E-2</c:v>
                </c:pt>
                <c:pt idx="55">
                  <c:v>4.7971354710662314E-2</c:v>
                </c:pt>
                <c:pt idx="56">
                  <c:v>5.2597721695347127E-2</c:v>
                </c:pt>
                <c:pt idx="57">
                  <c:v>5.4583751679149778E-2</c:v>
                </c:pt>
                <c:pt idx="58">
                  <c:v>5.5494359599175994E-2</c:v>
                </c:pt>
                <c:pt idx="59">
                  <c:v>5.4185698038642913E-2</c:v>
                </c:pt>
                <c:pt idx="60">
                  <c:v>5.3600920658160377E-2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9D1-6444-BAF2-A18F71EF3071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Scenarios'!$AC$3:$AC$63</c:f>
              <c:numCache>
                <c:formatCode>0.0000%</c:formatCode>
                <c:ptCount val="61"/>
                <c:pt idx="0">
                  <c:v>0.04</c:v>
                </c:pt>
                <c:pt idx="1">
                  <c:v>3.5778296920865656E-2</c:v>
                </c:pt>
                <c:pt idx="2">
                  <c:v>3.4075814323588687E-2</c:v>
                </c:pt>
                <c:pt idx="3">
                  <c:v>3.202313674912053E-2</c:v>
                </c:pt>
                <c:pt idx="4">
                  <c:v>3.3524086527934129E-2</c:v>
                </c:pt>
                <c:pt idx="5">
                  <c:v>4.9184660389532425E-2</c:v>
                </c:pt>
                <c:pt idx="6">
                  <c:v>4.8481421630439996E-2</c:v>
                </c:pt>
                <c:pt idx="7">
                  <c:v>4.1121734804427955E-2</c:v>
                </c:pt>
                <c:pt idx="8">
                  <c:v>4.3828791886571079E-2</c:v>
                </c:pt>
                <c:pt idx="9">
                  <c:v>4.5358300333390965E-2</c:v>
                </c:pt>
                <c:pt idx="10">
                  <c:v>4.3042192521827234E-2</c:v>
                </c:pt>
                <c:pt idx="11">
                  <c:v>4.6527498957632987E-2</c:v>
                </c:pt>
                <c:pt idx="12">
                  <c:v>3.9038714161385699E-2</c:v>
                </c:pt>
                <c:pt idx="13">
                  <c:v>4.1009885917604613E-2</c:v>
                </c:pt>
                <c:pt idx="14">
                  <c:v>3.9145391900724226E-2</c:v>
                </c:pt>
                <c:pt idx="15">
                  <c:v>4.3655623704518629E-2</c:v>
                </c:pt>
                <c:pt idx="16">
                  <c:v>4.2360822407321523E-2</c:v>
                </c:pt>
                <c:pt idx="17">
                  <c:v>3.941672969495677E-2</c:v>
                </c:pt>
                <c:pt idx="18">
                  <c:v>3.6464212981413925E-2</c:v>
                </c:pt>
                <c:pt idx="19">
                  <c:v>3.5360828977827219E-2</c:v>
                </c:pt>
                <c:pt idx="20">
                  <c:v>3.6981628410127663E-2</c:v>
                </c:pt>
                <c:pt idx="21">
                  <c:v>3.7360165985444775E-2</c:v>
                </c:pt>
                <c:pt idx="22">
                  <c:v>3.5900721742898899E-2</c:v>
                </c:pt>
                <c:pt idx="23">
                  <c:v>4.2958039384062147E-2</c:v>
                </c:pt>
                <c:pt idx="24">
                  <c:v>4.7142767307316841E-2</c:v>
                </c:pt>
                <c:pt idx="25">
                  <c:v>4.9142384691151786E-2</c:v>
                </c:pt>
                <c:pt idx="26">
                  <c:v>4.5156293662830513E-2</c:v>
                </c:pt>
                <c:pt idx="27">
                  <c:v>4.9571786588176063E-2</c:v>
                </c:pt>
                <c:pt idx="28">
                  <c:v>4.9206063147683596E-2</c:v>
                </c:pt>
                <c:pt idx="29">
                  <c:v>4.9733913492812178E-2</c:v>
                </c:pt>
                <c:pt idx="30">
                  <c:v>4.5393317818706411E-2</c:v>
                </c:pt>
                <c:pt idx="31">
                  <c:v>4.6461435533986045E-2</c:v>
                </c:pt>
                <c:pt idx="32">
                  <c:v>4.2886706841949361E-2</c:v>
                </c:pt>
                <c:pt idx="33">
                  <c:v>3.7840056117876206E-2</c:v>
                </c:pt>
                <c:pt idx="34">
                  <c:v>3.8782731596175325E-2</c:v>
                </c:pt>
                <c:pt idx="35">
                  <c:v>4.6822916001294485E-2</c:v>
                </c:pt>
                <c:pt idx="36">
                  <c:v>4.7024446319318139E-2</c:v>
                </c:pt>
                <c:pt idx="37">
                  <c:v>4.7050630745817598E-2</c:v>
                </c:pt>
                <c:pt idx="38">
                  <c:v>4.7885485690893827E-2</c:v>
                </c:pt>
                <c:pt idx="39">
                  <c:v>5.1425112949464037E-2</c:v>
                </c:pt>
                <c:pt idx="40">
                  <c:v>5.4480387016449375E-2</c:v>
                </c:pt>
                <c:pt idx="41">
                  <c:v>6.0189580797719418E-2</c:v>
                </c:pt>
                <c:pt idx="42">
                  <c:v>6.7496585965132319E-2</c:v>
                </c:pt>
                <c:pt idx="43">
                  <c:v>6.5577241199576489E-2</c:v>
                </c:pt>
                <c:pt idx="44">
                  <c:v>5.8764777387869525E-2</c:v>
                </c:pt>
                <c:pt idx="45">
                  <c:v>6.5177569708361666E-2</c:v>
                </c:pt>
                <c:pt idx="46">
                  <c:v>6.9457439446680896E-2</c:v>
                </c:pt>
                <c:pt idx="47">
                  <c:v>6.7873331253155283E-2</c:v>
                </c:pt>
                <c:pt idx="48">
                  <c:v>7.1586164436051022E-2</c:v>
                </c:pt>
                <c:pt idx="49">
                  <c:v>6.9243557782611112E-2</c:v>
                </c:pt>
                <c:pt idx="50">
                  <c:v>6.2480973132686336E-2</c:v>
                </c:pt>
                <c:pt idx="51">
                  <c:v>7.2313267454541724E-2</c:v>
                </c:pt>
                <c:pt idx="52">
                  <c:v>7.8160088870534924E-2</c:v>
                </c:pt>
                <c:pt idx="53">
                  <c:v>7.8313556332214596E-2</c:v>
                </c:pt>
                <c:pt idx="54">
                  <c:v>8.5303011977335391E-2</c:v>
                </c:pt>
                <c:pt idx="55">
                  <c:v>8.9337250011385969E-2</c:v>
                </c:pt>
                <c:pt idx="56">
                  <c:v>9.5691468450257985E-2</c:v>
                </c:pt>
                <c:pt idx="57">
                  <c:v>9.3840194498799392E-2</c:v>
                </c:pt>
                <c:pt idx="58">
                  <c:v>9.9870899893857432E-2</c:v>
                </c:pt>
                <c:pt idx="59">
                  <c:v>0.10582351392968335</c:v>
                </c:pt>
                <c:pt idx="60">
                  <c:v>0.10235828041029793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D1-6444-BAF2-A18F71EF3071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Scenarios'!$AD$3:$AD$63</c:f>
              <c:numCache>
                <c:formatCode>0.0000%</c:formatCode>
                <c:ptCount val="61"/>
                <c:pt idx="0">
                  <c:v>0.04</c:v>
                </c:pt>
                <c:pt idx="1">
                  <c:v>4.262540309794003E-2</c:v>
                </c:pt>
                <c:pt idx="2">
                  <c:v>4.419949531365254E-2</c:v>
                </c:pt>
                <c:pt idx="3">
                  <c:v>4.0345661174955798E-2</c:v>
                </c:pt>
                <c:pt idx="4">
                  <c:v>3.6902617838570809E-2</c:v>
                </c:pt>
                <c:pt idx="5">
                  <c:v>3.3459101022824324E-2</c:v>
                </c:pt>
                <c:pt idx="6">
                  <c:v>3.3027635033719083E-2</c:v>
                </c:pt>
                <c:pt idx="7">
                  <c:v>3.169476638167517E-2</c:v>
                </c:pt>
                <c:pt idx="8">
                  <c:v>2.9649632874946256E-2</c:v>
                </c:pt>
                <c:pt idx="9">
                  <c:v>3.4204833900305917E-2</c:v>
                </c:pt>
                <c:pt idx="10">
                  <c:v>4.1738682766637114E-2</c:v>
                </c:pt>
                <c:pt idx="11">
                  <c:v>3.8644460735839811E-2</c:v>
                </c:pt>
                <c:pt idx="12">
                  <c:v>4.0826968577447408E-2</c:v>
                </c:pt>
                <c:pt idx="13">
                  <c:v>3.6221392974182184E-2</c:v>
                </c:pt>
                <c:pt idx="14">
                  <c:v>3.0728745868991637E-2</c:v>
                </c:pt>
                <c:pt idx="15">
                  <c:v>2.8362153670745568E-2</c:v>
                </c:pt>
                <c:pt idx="16">
                  <c:v>3.5114419547928814E-2</c:v>
                </c:pt>
                <c:pt idx="17">
                  <c:v>3.0712507477741173E-2</c:v>
                </c:pt>
                <c:pt idx="18">
                  <c:v>3.3486279042215177E-2</c:v>
                </c:pt>
                <c:pt idx="19">
                  <c:v>2.8897704171761095E-2</c:v>
                </c:pt>
                <c:pt idx="20">
                  <c:v>3.1098260580036084E-2</c:v>
                </c:pt>
                <c:pt idx="21">
                  <c:v>2.9759506100197185E-2</c:v>
                </c:pt>
                <c:pt idx="22">
                  <c:v>3.0995859423510626E-2</c:v>
                </c:pt>
                <c:pt idx="23">
                  <c:v>3.8863376892091177E-2</c:v>
                </c:pt>
                <c:pt idx="24">
                  <c:v>3.8178993160808472E-2</c:v>
                </c:pt>
                <c:pt idx="25">
                  <c:v>4.2388886401165657E-2</c:v>
                </c:pt>
                <c:pt idx="26">
                  <c:v>4.017529868554378E-2</c:v>
                </c:pt>
                <c:pt idx="27">
                  <c:v>3.9740911409015832E-2</c:v>
                </c:pt>
                <c:pt idx="28">
                  <c:v>4.2049652602411849E-2</c:v>
                </c:pt>
                <c:pt idx="29">
                  <c:v>4.2237597221369216E-2</c:v>
                </c:pt>
                <c:pt idx="30">
                  <c:v>4.4124280454353994E-2</c:v>
                </c:pt>
                <c:pt idx="31">
                  <c:v>4.1733612360661101E-2</c:v>
                </c:pt>
                <c:pt idx="32">
                  <c:v>4.024495839254956E-2</c:v>
                </c:pt>
                <c:pt idx="33">
                  <c:v>4.1901106883700814E-2</c:v>
                </c:pt>
                <c:pt idx="34">
                  <c:v>3.7283997572959596E-2</c:v>
                </c:pt>
                <c:pt idx="35">
                  <c:v>3.8463589637383749E-2</c:v>
                </c:pt>
                <c:pt idx="36">
                  <c:v>3.9781314021823881E-2</c:v>
                </c:pt>
                <c:pt idx="37">
                  <c:v>3.3819821755471477E-2</c:v>
                </c:pt>
                <c:pt idx="38">
                  <c:v>3.2408591028828912E-2</c:v>
                </c:pt>
                <c:pt idx="39">
                  <c:v>3.0973944072722696E-2</c:v>
                </c:pt>
                <c:pt idx="40">
                  <c:v>2.6012029145555265E-2</c:v>
                </c:pt>
                <c:pt idx="41">
                  <c:v>2.5010040777171581E-2</c:v>
                </c:pt>
                <c:pt idx="42">
                  <c:v>2.6844105925580099E-2</c:v>
                </c:pt>
                <c:pt idx="43">
                  <c:v>2.8525378353303273E-2</c:v>
                </c:pt>
                <c:pt idx="44">
                  <c:v>2.709402869212162E-2</c:v>
                </c:pt>
                <c:pt idx="45">
                  <c:v>2.7328689568658873E-2</c:v>
                </c:pt>
                <c:pt idx="46">
                  <c:v>2.8139903293872785E-2</c:v>
                </c:pt>
                <c:pt idx="47">
                  <c:v>2.6501256440147065E-2</c:v>
                </c:pt>
                <c:pt idx="48">
                  <c:v>2.7128990885673304E-2</c:v>
                </c:pt>
                <c:pt idx="49">
                  <c:v>2.9032423745594158E-2</c:v>
                </c:pt>
                <c:pt idx="50">
                  <c:v>2.7203935848646589E-2</c:v>
                </c:pt>
                <c:pt idx="51">
                  <c:v>3.2739775926249132E-2</c:v>
                </c:pt>
                <c:pt idx="52">
                  <c:v>3.556810130510013E-2</c:v>
                </c:pt>
                <c:pt idx="53">
                  <c:v>3.7943783051425851E-2</c:v>
                </c:pt>
                <c:pt idx="54">
                  <c:v>3.8869017602642247E-2</c:v>
                </c:pt>
                <c:pt idx="55">
                  <c:v>3.3988324448537069E-2</c:v>
                </c:pt>
                <c:pt idx="56">
                  <c:v>3.6617947577395511E-2</c:v>
                </c:pt>
                <c:pt idx="57">
                  <c:v>3.6396508947863442E-2</c:v>
                </c:pt>
                <c:pt idx="58">
                  <c:v>3.2160287033297263E-2</c:v>
                </c:pt>
                <c:pt idx="59">
                  <c:v>2.8438042327192471E-2</c:v>
                </c:pt>
                <c:pt idx="60">
                  <c:v>3.2180532330274743E-2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9D1-6444-BAF2-A18F71EF3071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Scenarios'!$AE$3:$AE$63</c:f>
              <c:numCache>
                <c:formatCode>0.0000%</c:formatCode>
                <c:ptCount val="61"/>
                <c:pt idx="0">
                  <c:v>0.04</c:v>
                </c:pt>
                <c:pt idx="1">
                  <c:v>3.8923252343124659E-2</c:v>
                </c:pt>
                <c:pt idx="2">
                  <c:v>4.0965992812210549E-2</c:v>
                </c:pt>
                <c:pt idx="3">
                  <c:v>3.6119521656738297E-2</c:v>
                </c:pt>
                <c:pt idx="4">
                  <c:v>3.8361507059796462E-2</c:v>
                </c:pt>
                <c:pt idx="5">
                  <c:v>3.7742133464400675E-2</c:v>
                </c:pt>
                <c:pt idx="6">
                  <c:v>3.5025726056435433E-2</c:v>
                </c:pt>
                <c:pt idx="7">
                  <c:v>3.6971194141830317E-2</c:v>
                </c:pt>
                <c:pt idx="8">
                  <c:v>3.9362824641681643E-2</c:v>
                </c:pt>
                <c:pt idx="9">
                  <c:v>3.315437812719807E-2</c:v>
                </c:pt>
                <c:pt idx="10">
                  <c:v>3.5156855732578478E-2</c:v>
                </c:pt>
                <c:pt idx="11">
                  <c:v>3.7058706507335955E-2</c:v>
                </c:pt>
                <c:pt idx="12">
                  <c:v>3.3274976380629713E-2</c:v>
                </c:pt>
                <c:pt idx="13">
                  <c:v>2.8826034487234552E-2</c:v>
                </c:pt>
                <c:pt idx="14">
                  <c:v>2.5489612202301164E-2</c:v>
                </c:pt>
                <c:pt idx="15">
                  <c:v>2.3818066445135379E-2</c:v>
                </c:pt>
                <c:pt idx="16">
                  <c:v>2.6138231337666584E-2</c:v>
                </c:pt>
                <c:pt idx="17">
                  <c:v>2.8157269675733874E-2</c:v>
                </c:pt>
                <c:pt idx="18">
                  <c:v>3.0875229950391811E-2</c:v>
                </c:pt>
                <c:pt idx="19">
                  <c:v>2.8815689715781297E-2</c:v>
                </c:pt>
                <c:pt idx="20">
                  <c:v>3.2199444298071339E-2</c:v>
                </c:pt>
                <c:pt idx="21">
                  <c:v>2.9759236810126804E-2</c:v>
                </c:pt>
                <c:pt idx="22">
                  <c:v>3.2760558721567572E-2</c:v>
                </c:pt>
                <c:pt idx="23">
                  <c:v>3.3131931362901039E-2</c:v>
                </c:pt>
                <c:pt idx="24">
                  <c:v>3.3373989958261678E-2</c:v>
                </c:pt>
                <c:pt idx="25">
                  <c:v>3.5090415518629244E-2</c:v>
                </c:pt>
                <c:pt idx="26">
                  <c:v>3.111300243547175E-2</c:v>
                </c:pt>
                <c:pt idx="27">
                  <c:v>2.7137028026438154E-2</c:v>
                </c:pt>
                <c:pt idx="28">
                  <c:v>2.6166112224933334E-2</c:v>
                </c:pt>
                <c:pt idx="29">
                  <c:v>2.3991596740010234E-2</c:v>
                </c:pt>
                <c:pt idx="30">
                  <c:v>2.706877779474209E-2</c:v>
                </c:pt>
                <c:pt idx="31">
                  <c:v>3.1766177047463671E-2</c:v>
                </c:pt>
                <c:pt idx="32">
                  <c:v>3.5945668979420295E-2</c:v>
                </c:pt>
                <c:pt idx="33">
                  <c:v>3.7265281032106058E-2</c:v>
                </c:pt>
                <c:pt idx="34">
                  <c:v>3.5130868558506667E-2</c:v>
                </c:pt>
                <c:pt idx="35">
                  <c:v>4.1605904506986577E-2</c:v>
                </c:pt>
                <c:pt idx="36">
                  <c:v>3.6353380634259379E-2</c:v>
                </c:pt>
                <c:pt idx="37">
                  <c:v>3.7188475043287796E-2</c:v>
                </c:pt>
                <c:pt idx="38">
                  <c:v>3.7448542306160224E-2</c:v>
                </c:pt>
                <c:pt idx="39">
                  <c:v>3.6859028538844575E-2</c:v>
                </c:pt>
                <c:pt idx="40">
                  <c:v>3.748621198907779E-2</c:v>
                </c:pt>
                <c:pt idx="41">
                  <c:v>3.2740943272524949E-2</c:v>
                </c:pt>
                <c:pt idx="42">
                  <c:v>3.184380543424313E-2</c:v>
                </c:pt>
                <c:pt idx="43">
                  <c:v>2.7510706938033633E-2</c:v>
                </c:pt>
                <c:pt idx="44">
                  <c:v>2.9073398489187743E-2</c:v>
                </c:pt>
                <c:pt idx="45">
                  <c:v>3.2448394891956445E-2</c:v>
                </c:pt>
                <c:pt idx="46">
                  <c:v>2.5209036923881517E-2</c:v>
                </c:pt>
                <c:pt idx="47">
                  <c:v>2.7772220615290631E-2</c:v>
                </c:pt>
                <c:pt idx="48">
                  <c:v>2.6869317004339147E-2</c:v>
                </c:pt>
                <c:pt idx="49">
                  <c:v>2.6450700421160184E-2</c:v>
                </c:pt>
                <c:pt idx="50">
                  <c:v>2.8674810165760158E-2</c:v>
                </c:pt>
                <c:pt idx="51">
                  <c:v>3.1411500654939736E-2</c:v>
                </c:pt>
                <c:pt idx="52">
                  <c:v>3.3580409381622794E-2</c:v>
                </c:pt>
                <c:pt idx="53">
                  <c:v>3.5860262458575529E-2</c:v>
                </c:pt>
                <c:pt idx="54">
                  <c:v>4.1079878157948758E-2</c:v>
                </c:pt>
                <c:pt idx="55">
                  <c:v>4.1298312689324018E-2</c:v>
                </c:pt>
                <c:pt idx="56">
                  <c:v>4.5890815293533213E-2</c:v>
                </c:pt>
                <c:pt idx="57">
                  <c:v>4.056360633352319E-2</c:v>
                </c:pt>
                <c:pt idx="58">
                  <c:v>3.8823291626772304E-2</c:v>
                </c:pt>
                <c:pt idx="59">
                  <c:v>4.4009665428779529E-2</c:v>
                </c:pt>
                <c:pt idx="60">
                  <c:v>4.5787093931881566E-2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D1-6444-BAF2-A18F71EF3071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Scenarios'!$AF$3:$AF$63</c:f>
              <c:numCache>
                <c:formatCode>0.0000%</c:formatCode>
                <c:ptCount val="61"/>
                <c:pt idx="0">
                  <c:v>0.04</c:v>
                </c:pt>
                <c:pt idx="1">
                  <c:v>3.733153060181376E-2</c:v>
                </c:pt>
                <c:pt idx="2">
                  <c:v>3.804676006614334E-2</c:v>
                </c:pt>
                <c:pt idx="3">
                  <c:v>3.8689817544626415E-2</c:v>
                </c:pt>
                <c:pt idx="4">
                  <c:v>3.3135833789901405E-2</c:v>
                </c:pt>
                <c:pt idx="5">
                  <c:v>3.3596863142811871E-2</c:v>
                </c:pt>
                <c:pt idx="6">
                  <c:v>3.0467464753026832E-2</c:v>
                </c:pt>
                <c:pt idx="7">
                  <c:v>3.2837257104268096E-2</c:v>
                </c:pt>
                <c:pt idx="8">
                  <c:v>3.7191190992276739E-2</c:v>
                </c:pt>
                <c:pt idx="9">
                  <c:v>4.2087246014497905E-2</c:v>
                </c:pt>
                <c:pt idx="10">
                  <c:v>4.6826375276161396E-2</c:v>
                </c:pt>
                <c:pt idx="11">
                  <c:v>3.5741728258922328E-2</c:v>
                </c:pt>
                <c:pt idx="12">
                  <c:v>3.0917611600851585E-2</c:v>
                </c:pt>
                <c:pt idx="13">
                  <c:v>2.7718462405506669E-2</c:v>
                </c:pt>
                <c:pt idx="14">
                  <c:v>2.7397910356347716E-2</c:v>
                </c:pt>
                <c:pt idx="15">
                  <c:v>3.0233065128451371E-2</c:v>
                </c:pt>
                <c:pt idx="16">
                  <c:v>3.0807876637147121E-2</c:v>
                </c:pt>
                <c:pt idx="17">
                  <c:v>3.0864655568151177E-2</c:v>
                </c:pt>
                <c:pt idx="18">
                  <c:v>2.9741458011128749E-2</c:v>
                </c:pt>
                <c:pt idx="19">
                  <c:v>2.7084272828850342E-2</c:v>
                </c:pt>
                <c:pt idx="20">
                  <c:v>2.175046364247896E-2</c:v>
                </c:pt>
                <c:pt idx="21">
                  <c:v>2.3110637758965377E-2</c:v>
                </c:pt>
                <c:pt idx="22">
                  <c:v>2.210748728322641E-2</c:v>
                </c:pt>
                <c:pt idx="23">
                  <c:v>2.1999570188216532E-2</c:v>
                </c:pt>
                <c:pt idx="24">
                  <c:v>2.0248874443261282E-2</c:v>
                </c:pt>
                <c:pt idx="25">
                  <c:v>2.1861624819635123E-2</c:v>
                </c:pt>
                <c:pt idx="26">
                  <c:v>2.2062694060380472E-2</c:v>
                </c:pt>
                <c:pt idx="27">
                  <c:v>1.9612123439398978E-2</c:v>
                </c:pt>
                <c:pt idx="28">
                  <c:v>2.0338654981680276E-2</c:v>
                </c:pt>
                <c:pt idx="29">
                  <c:v>1.7899352846454587E-2</c:v>
                </c:pt>
                <c:pt idx="30">
                  <c:v>1.5314266820689136E-2</c:v>
                </c:pt>
                <c:pt idx="31">
                  <c:v>1.9353868176258858E-2</c:v>
                </c:pt>
                <c:pt idx="32">
                  <c:v>1.8429767112225798E-2</c:v>
                </c:pt>
                <c:pt idx="33">
                  <c:v>2.0468773500867961E-2</c:v>
                </c:pt>
                <c:pt idx="34">
                  <c:v>2.026896894431645E-2</c:v>
                </c:pt>
                <c:pt idx="35">
                  <c:v>2.278707773928848E-2</c:v>
                </c:pt>
                <c:pt idx="36">
                  <c:v>2.7050904373249241E-2</c:v>
                </c:pt>
                <c:pt idx="37">
                  <c:v>2.3499996790842959E-2</c:v>
                </c:pt>
                <c:pt idx="38">
                  <c:v>2.1275847235226727E-2</c:v>
                </c:pt>
                <c:pt idx="39">
                  <c:v>2.0999392888350329E-2</c:v>
                </c:pt>
                <c:pt idx="40">
                  <c:v>2.3358648387876081E-2</c:v>
                </c:pt>
                <c:pt idx="41">
                  <c:v>2.4513688903658303E-2</c:v>
                </c:pt>
                <c:pt idx="42">
                  <c:v>2.2921060645192972E-2</c:v>
                </c:pt>
                <c:pt idx="43">
                  <c:v>2.0299405852045895E-2</c:v>
                </c:pt>
                <c:pt idx="44">
                  <c:v>2.0861660131351028E-2</c:v>
                </c:pt>
                <c:pt idx="45">
                  <c:v>1.6801667433846066E-2</c:v>
                </c:pt>
                <c:pt idx="46">
                  <c:v>1.9168746954777664E-2</c:v>
                </c:pt>
                <c:pt idx="47">
                  <c:v>1.7412123353496765E-2</c:v>
                </c:pt>
                <c:pt idx="48">
                  <c:v>1.9237930740878102E-2</c:v>
                </c:pt>
                <c:pt idx="49">
                  <c:v>2.0422245378479864E-2</c:v>
                </c:pt>
                <c:pt idx="50">
                  <c:v>2.0593662622276111E-2</c:v>
                </c:pt>
                <c:pt idx="51">
                  <c:v>2.256494921975678E-2</c:v>
                </c:pt>
                <c:pt idx="52">
                  <c:v>2.3400554432970868E-2</c:v>
                </c:pt>
                <c:pt idx="53">
                  <c:v>2.2588219480546349E-2</c:v>
                </c:pt>
                <c:pt idx="54">
                  <c:v>2.2870921554677133E-2</c:v>
                </c:pt>
                <c:pt idx="55">
                  <c:v>2.44316851642064E-2</c:v>
                </c:pt>
                <c:pt idx="56">
                  <c:v>2.592483589306898E-2</c:v>
                </c:pt>
                <c:pt idx="57">
                  <c:v>2.8569848973627205E-2</c:v>
                </c:pt>
                <c:pt idx="58">
                  <c:v>2.7940606022361411E-2</c:v>
                </c:pt>
                <c:pt idx="59">
                  <c:v>2.7978315854199666E-2</c:v>
                </c:pt>
                <c:pt idx="60">
                  <c:v>3.3678128192796267E-2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9D1-6444-BAF2-A18F71EF3071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Scenarios'!$AG$3:$AG$63</c:f>
              <c:numCache>
                <c:formatCode>0.0000%</c:formatCode>
                <c:ptCount val="61"/>
                <c:pt idx="0">
                  <c:v>0.04</c:v>
                </c:pt>
                <c:pt idx="1">
                  <c:v>4.2717065475340155E-2</c:v>
                </c:pt>
                <c:pt idx="2">
                  <c:v>4.1142209129607234E-2</c:v>
                </c:pt>
                <c:pt idx="3">
                  <c:v>4.6687007472707695E-2</c:v>
                </c:pt>
                <c:pt idx="4">
                  <c:v>4.2591353831726519E-2</c:v>
                </c:pt>
                <c:pt idx="5">
                  <c:v>3.7831626718567338E-2</c:v>
                </c:pt>
                <c:pt idx="6">
                  <c:v>2.9934423515307271E-2</c:v>
                </c:pt>
                <c:pt idx="7">
                  <c:v>2.8013041751241897E-2</c:v>
                </c:pt>
                <c:pt idx="8">
                  <c:v>2.6253638859115285E-2</c:v>
                </c:pt>
                <c:pt idx="9">
                  <c:v>3.3852107889377585E-2</c:v>
                </c:pt>
                <c:pt idx="10">
                  <c:v>3.1460582550077609E-2</c:v>
                </c:pt>
                <c:pt idx="11">
                  <c:v>3.2279091041552029E-2</c:v>
                </c:pt>
                <c:pt idx="12">
                  <c:v>3.2791158231522781E-2</c:v>
                </c:pt>
                <c:pt idx="13">
                  <c:v>3.766566914309951E-2</c:v>
                </c:pt>
                <c:pt idx="14">
                  <c:v>4.3970335046462895E-2</c:v>
                </c:pt>
                <c:pt idx="15">
                  <c:v>4.2563008618952403E-2</c:v>
                </c:pt>
                <c:pt idx="16">
                  <c:v>4.6835697283577719E-2</c:v>
                </c:pt>
                <c:pt idx="17">
                  <c:v>5.0650782274682837E-2</c:v>
                </c:pt>
                <c:pt idx="18">
                  <c:v>5.2518216525753871E-2</c:v>
                </c:pt>
                <c:pt idx="19">
                  <c:v>5.5912230192342413E-2</c:v>
                </c:pt>
                <c:pt idx="20">
                  <c:v>5.294653016555656E-2</c:v>
                </c:pt>
                <c:pt idx="21">
                  <c:v>5.2519971587852987E-2</c:v>
                </c:pt>
                <c:pt idx="22">
                  <c:v>5.5954189266064158E-2</c:v>
                </c:pt>
                <c:pt idx="23">
                  <c:v>5.3057366072984363E-2</c:v>
                </c:pt>
                <c:pt idx="24">
                  <c:v>5.1142473966057742E-2</c:v>
                </c:pt>
                <c:pt idx="25">
                  <c:v>5.1192409149346446E-2</c:v>
                </c:pt>
                <c:pt idx="26">
                  <c:v>5.1973060330485356E-2</c:v>
                </c:pt>
                <c:pt idx="27">
                  <c:v>5.0107325890177384E-2</c:v>
                </c:pt>
                <c:pt idx="28">
                  <c:v>4.6728819195450869E-2</c:v>
                </c:pt>
                <c:pt idx="29">
                  <c:v>4.9532051557152082E-2</c:v>
                </c:pt>
                <c:pt idx="30">
                  <c:v>4.90741751917231E-2</c:v>
                </c:pt>
                <c:pt idx="31">
                  <c:v>4.7276053509513964E-2</c:v>
                </c:pt>
                <c:pt idx="32">
                  <c:v>4.6510523532017116E-2</c:v>
                </c:pt>
                <c:pt idx="33">
                  <c:v>5.1637460852083525E-2</c:v>
                </c:pt>
                <c:pt idx="34">
                  <c:v>4.9896117762551893E-2</c:v>
                </c:pt>
                <c:pt idx="35">
                  <c:v>5.5357466481716966E-2</c:v>
                </c:pt>
                <c:pt idx="36">
                  <c:v>6.0953873454948147E-2</c:v>
                </c:pt>
                <c:pt idx="37">
                  <c:v>5.7900615095165718E-2</c:v>
                </c:pt>
                <c:pt idx="38">
                  <c:v>6.4128653341692876E-2</c:v>
                </c:pt>
                <c:pt idx="39">
                  <c:v>6.5744659415820042E-2</c:v>
                </c:pt>
                <c:pt idx="40">
                  <c:v>7.018365344183905E-2</c:v>
                </c:pt>
                <c:pt idx="41">
                  <c:v>6.6592959750902597E-2</c:v>
                </c:pt>
                <c:pt idx="42">
                  <c:v>6.9210034653883548E-2</c:v>
                </c:pt>
                <c:pt idx="43">
                  <c:v>6.8909671317665816E-2</c:v>
                </c:pt>
                <c:pt idx="44">
                  <c:v>6.4543038620609255E-2</c:v>
                </c:pt>
                <c:pt idx="45">
                  <c:v>6.5893940985620236E-2</c:v>
                </c:pt>
                <c:pt idx="46">
                  <c:v>6.7526672396782422E-2</c:v>
                </c:pt>
                <c:pt idx="47">
                  <c:v>7.2271854721936313E-2</c:v>
                </c:pt>
                <c:pt idx="48">
                  <c:v>7.4590332124835249E-2</c:v>
                </c:pt>
                <c:pt idx="49">
                  <c:v>7.0098247516916803E-2</c:v>
                </c:pt>
                <c:pt idx="50">
                  <c:v>6.5041643632879981E-2</c:v>
                </c:pt>
                <c:pt idx="51">
                  <c:v>6.368579650063666E-2</c:v>
                </c:pt>
                <c:pt idx="52">
                  <c:v>6.4525945504327109E-2</c:v>
                </c:pt>
                <c:pt idx="53">
                  <c:v>6.9883869454756817E-2</c:v>
                </c:pt>
                <c:pt idx="54">
                  <c:v>6.4766503742039364E-2</c:v>
                </c:pt>
                <c:pt idx="55">
                  <c:v>6.1442268362898123E-2</c:v>
                </c:pt>
                <c:pt idx="56">
                  <c:v>6.2077507432892275E-2</c:v>
                </c:pt>
                <c:pt idx="57">
                  <c:v>5.7481297195557078E-2</c:v>
                </c:pt>
                <c:pt idx="58">
                  <c:v>4.7139301357815813E-2</c:v>
                </c:pt>
                <c:pt idx="59">
                  <c:v>4.7005474923123243E-2</c:v>
                </c:pt>
                <c:pt idx="60">
                  <c:v>4.5724931443278855E-2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D1-6444-BAF2-A18F71EF3071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Scenarios'!$AH$3:$AH$63</c:f>
              <c:numCache>
                <c:formatCode>0.0000%</c:formatCode>
                <c:ptCount val="61"/>
                <c:pt idx="0">
                  <c:v>0.04</c:v>
                </c:pt>
                <c:pt idx="1">
                  <c:v>4.4780121496809253E-2</c:v>
                </c:pt>
                <c:pt idx="2">
                  <c:v>3.5215928297574715E-2</c:v>
                </c:pt>
                <c:pt idx="3">
                  <c:v>4.3031127547327942E-2</c:v>
                </c:pt>
                <c:pt idx="4">
                  <c:v>4.4224441903511671E-2</c:v>
                </c:pt>
                <c:pt idx="5">
                  <c:v>4.554250075575652E-2</c:v>
                </c:pt>
                <c:pt idx="6">
                  <c:v>4.8213064885115266E-2</c:v>
                </c:pt>
                <c:pt idx="7">
                  <c:v>4.2800987215979899E-2</c:v>
                </c:pt>
                <c:pt idx="8">
                  <c:v>5.2285783148849789E-2</c:v>
                </c:pt>
                <c:pt idx="9">
                  <c:v>5.201203956209581E-2</c:v>
                </c:pt>
                <c:pt idx="10">
                  <c:v>5.0190831293912816E-2</c:v>
                </c:pt>
                <c:pt idx="11">
                  <c:v>5.1845879379630123E-2</c:v>
                </c:pt>
                <c:pt idx="12">
                  <c:v>5.2270888809211456E-2</c:v>
                </c:pt>
                <c:pt idx="13">
                  <c:v>5.1665997997743893E-2</c:v>
                </c:pt>
                <c:pt idx="14">
                  <c:v>5.396287635268044E-2</c:v>
                </c:pt>
                <c:pt idx="15">
                  <c:v>5.2807151299936281E-2</c:v>
                </c:pt>
                <c:pt idx="16">
                  <c:v>5.4083897566363233E-2</c:v>
                </c:pt>
                <c:pt idx="17">
                  <c:v>5.5440686112119872E-2</c:v>
                </c:pt>
                <c:pt idx="18">
                  <c:v>5.814082135429683E-2</c:v>
                </c:pt>
                <c:pt idx="19">
                  <c:v>5.7139096147246535E-2</c:v>
                </c:pt>
                <c:pt idx="20">
                  <c:v>6.2979933339893227E-2</c:v>
                </c:pt>
                <c:pt idx="21">
                  <c:v>7.1954679707884217E-2</c:v>
                </c:pt>
                <c:pt idx="22">
                  <c:v>7.9319183060803572E-2</c:v>
                </c:pt>
                <c:pt idx="23">
                  <c:v>8.345766096151222E-2</c:v>
                </c:pt>
                <c:pt idx="24">
                  <c:v>8.2592556514425278E-2</c:v>
                </c:pt>
                <c:pt idx="25">
                  <c:v>9.1235000505247382E-2</c:v>
                </c:pt>
                <c:pt idx="26">
                  <c:v>9.3691416566166252E-2</c:v>
                </c:pt>
                <c:pt idx="27">
                  <c:v>8.8317632169009896E-2</c:v>
                </c:pt>
                <c:pt idx="28">
                  <c:v>9.0671323482635388E-2</c:v>
                </c:pt>
                <c:pt idx="29">
                  <c:v>8.5444007199092301E-2</c:v>
                </c:pt>
                <c:pt idx="30">
                  <c:v>8.6856367720692981E-2</c:v>
                </c:pt>
                <c:pt idx="31">
                  <c:v>8.3353693924449038E-2</c:v>
                </c:pt>
                <c:pt idx="32">
                  <c:v>8.0875446844619545E-2</c:v>
                </c:pt>
                <c:pt idx="33">
                  <c:v>7.9559007932891473E-2</c:v>
                </c:pt>
                <c:pt idx="34">
                  <c:v>7.7768614196043806E-2</c:v>
                </c:pt>
                <c:pt idx="35">
                  <c:v>8.1976119819265489E-2</c:v>
                </c:pt>
                <c:pt idx="36">
                  <c:v>8.2061972910405331E-2</c:v>
                </c:pt>
                <c:pt idx="37">
                  <c:v>7.5258169763175453E-2</c:v>
                </c:pt>
                <c:pt idx="38">
                  <c:v>8.0347047046949102E-2</c:v>
                </c:pt>
                <c:pt idx="39">
                  <c:v>7.8182188150997589E-2</c:v>
                </c:pt>
                <c:pt idx="40">
                  <c:v>8.5465686009642883E-2</c:v>
                </c:pt>
                <c:pt idx="41">
                  <c:v>7.7298189571178982E-2</c:v>
                </c:pt>
                <c:pt idx="42">
                  <c:v>7.3157670136610162E-2</c:v>
                </c:pt>
                <c:pt idx="43">
                  <c:v>7.4002797839369694E-2</c:v>
                </c:pt>
                <c:pt idx="44">
                  <c:v>7.0505959996829196E-2</c:v>
                </c:pt>
                <c:pt idx="45">
                  <c:v>6.9437336942012914E-2</c:v>
                </c:pt>
                <c:pt idx="46">
                  <c:v>7.1185663651144648E-2</c:v>
                </c:pt>
                <c:pt idx="47">
                  <c:v>7.2260282519991392E-2</c:v>
                </c:pt>
                <c:pt idx="48">
                  <c:v>7.1762454378992105E-2</c:v>
                </c:pt>
                <c:pt idx="49">
                  <c:v>8.0549062699722437E-2</c:v>
                </c:pt>
                <c:pt idx="50">
                  <c:v>7.7781636147951957E-2</c:v>
                </c:pt>
                <c:pt idx="51">
                  <c:v>7.157821350727625E-2</c:v>
                </c:pt>
                <c:pt idx="52">
                  <c:v>7.3071672899931703E-2</c:v>
                </c:pt>
                <c:pt idx="53">
                  <c:v>7.5338039510444169E-2</c:v>
                </c:pt>
                <c:pt idx="54">
                  <c:v>7.554454969111507E-2</c:v>
                </c:pt>
                <c:pt idx="55">
                  <c:v>7.6329854335040179E-2</c:v>
                </c:pt>
                <c:pt idx="56">
                  <c:v>7.6552042600669917E-2</c:v>
                </c:pt>
                <c:pt idx="57">
                  <c:v>7.6095939618726779E-2</c:v>
                </c:pt>
                <c:pt idx="58">
                  <c:v>7.603379754620071E-2</c:v>
                </c:pt>
                <c:pt idx="59">
                  <c:v>7.2391096080205247E-2</c:v>
                </c:pt>
                <c:pt idx="60">
                  <c:v>7.2333598201107671E-2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9D1-6444-BAF2-A18F71EF3071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Scenarios'!$AI$3:$AI$63</c:f>
              <c:numCache>
                <c:formatCode>0.0000%</c:formatCode>
                <c:ptCount val="61"/>
                <c:pt idx="0">
                  <c:v>0.04</c:v>
                </c:pt>
                <c:pt idx="1">
                  <c:v>4.7547581876484349E-2</c:v>
                </c:pt>
                <c:pt idx="2">
                  <c:v>4.4152671809311518E-2</c:v>
                </c:pt>
                <c:pt idx="3">
                  <c:v>4.109575758523392E-2</c:v>
                </c:pt>
                <c:pt idx="4">
                  <c:v>3.5991303095256402E-2</c:v>
                </c:pt>
                <c:pt idx="5">
                  <c:v>3.5712283163223842E-2</c:v>
                </c:pt>
                <c:pt idx="6">
                  <c:v>3.3136235167760777E-2</c:v>
                </c:pt>
                <c:pt idx="7">
                  <c:v>3.6152925850375044E-2</c:v>
                </c:pt>
                <c:pt idx="8">
                  <c:v>3.2797378935869238E-2</c:v>
                </c:pt>
                <c:pt idx="9">
                  <c:v>3.6821636012477017E-2</c:v>
                </c:pt>
                <c:pt idx="10">
                  <c:v>3.706016257898137E-2</c:v>
                </c:pt>
                <c:pt idx="11">
                  <c:v>3.6761224153981732E-2</c:v>
                </c:pt>
                <c:pt idx="12">
                  <c:v>3.6388747235825164E-2</c:v>
                </c:pt>
                <c:pt idx="13">
                  <c:v>3.2197870969404095E-2</c:v>
                </c:pt>
                <c:pt idx="14">
                  <c:v>3.2167280793335001E-2</c:v>
                </c:pt>
                <c:pt idx="15">
                  <c:v>2.811215725903253E-2</c:v>
                </c:pt>
                <c:pt idx="16">
                  <c:v>2.7447195376910996E-2</c:v>
                </c:pt>
                <c:pt idx="17">
                  <c:v>3.3057852795808085E-2</c:v>
                </c:pt>
                <c:pt idx="18">
                  <c:v>3.8339140393342588E-2</c:v>
                </c:pt>
                <c:pt idx="19">
                  <c:v>3.3904659362110651E-2</c:v>
                </c:pt>
                <c:pt idx="20">
                  <c:v>3.7666035086659486E-2</c:v>
                </c:pt>
                <c:pt idx="21">
                  <c:v>3.7506540200841057E-2</c:v>
                </c:pt>
                <c:pt idx="22">
                  <c:v>3.3478712493722265E-2</c:v>
                </c:pt>
                <c:pt idx="23">
                  <c:v>3.0179207671101948E-2</c:v>
                </c:pt>
                <c:pt idx="24">
                  <c:v>3.031199499455825E-2</c:v>
                </c:pt>
                <c:pt idx="25">
                  <c:v>2.694002419165966E-2</c:v>
                </c:pt>
                <c:pt idx="26">
                  <c:v>2.6971952570898006E-2</c:v>
                </c:pt>
                <c:pt idx="27">
                  <c:v>2.8009874342665685E-2</c:v>
                </c:pt>
                <c:pt idx="28">
                  <c:v>2.7920457965851034E-2</c:v>
                </c:pt>
                <c:pt idx="29">
                  <c:v>3.2414948285899775E-2</c:v>
                </c:pt>
                <c:pt idx="30">
                  <c:v>3.3650813106213172E-2</c:v>
                </c:pt>
                <c:pt idx="31">
                  <c:v>3.6501057858259314E-2</c:v>
                </c:pt>
                <c:pt idx="32">
                  <c:v>3.6756376178557107E-2</c:v>
                </c:pt>
                <c:pt idx="33">
                  <c:v>3.8286492089707538E-2</c:v>
                </c:pt>
                <c:pt idx="34">
                  <c:v>3.4799671022083575E-2</c:v>
                </c:pt>
                <c:pt idx="35">
                  <c:v>3.5916035449442989E-2</c:v>
                </c:pt>
                <c:pt idx="36">
                  <c:v>3.727610340610462E-2</c:v>
                </c:pt>
                <c:pt idx="37">
                  <c:v>4.0578181973031917E-2</c:v>
                </c:pt>
                <c:pt idx="38">
                  <c:v>4.7149332314581648E-2</c:v>
                </c:pt>
                <c:pt idx="39">
                  <c:v>4.6673062676821218E-2</c:v>
                </c:pt>
                <c:pt idx="40">
                  <c:v>4.8316321496140693E-2</c:v>
                </c:pt>
                <c:pt idx="41">
                  <c:v>4.9079184238693223E-2</c:v>
                </c:pt>
                <c:pt idx="42">
                  <c:v>4.9502679615546011E-2</c:v>
                </c:pt>
                <c:pt idx="43">
                  <c:v>4.9669625511965382E-2</c:v>
                </c:pt>
                <c:pt idx="44">
                  <c:v>5.5439878478019518E-2</c:v>
                </c:pt>
                <c:pt idx="45">
                  <c:v>5.7467202001305957E-2</c:v>
                </c:pt>
                <c:pt idx="46">
                  <c:v>5.9835519040920562E-2</c:v>
                </c:pt>
                <c:pt idx="47">
                  <c:v>5.8597336531051182E-2</c:v>
                </c:pt>
                <c:pt idx="48">
                  <c:v>6.0524204996148259E-2</c:v>
                </c:pt>
                <c:pt idx="49">
                  <c:v>6.4554187340431848E-2</c:v>
                </c:pt>
                <c:pt idx="50">
                  <c:v>6.2203769812711397E-2</c:v>
                </c:pt>
                <c:pt idx="51">
                  <c:v>6.6012003853293755E-2</c:v>
                </c:pt>
                <c:pt idx="52">
                  <c:v>6.6555077626915052E-2</c:v>
                </c:pt>
                <c:pt idx="53">
                  <c:v>7.8255334264920165E-2</c:v>
                </c:pt>
                <c:pt idx="54">
                  <c:v>6.9045947959225473E-2</c:v>
                </c:pt>
                <c:pt idx="55">
                  <c:v>6.798053773676295E-2</c:v>
                </c:pt>
                <c:pt idx="56">
                  <c:v>7.1616667627726338E-2</c:v>
                </c:pt>
                <c:pt idx="57">
                  <c:v>8.1472734852009357E-2</c:v>
                </c:pt>
                <c:pt idx="58">
                  <c:v>7.9645561448375493E-2</c:v>
                </c:pt>
                <c:pt idx="59">
                  <c:v>8.5937978166749224E-2</c:v>
                </c:pt>
                <c:pt idx="60">
                  <c:v>9.0432993999579922E-2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D1-6444-BAF2-A18F71EF3071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Scenarios'!$AJ$3:$AJ$63</c:f>
              <c:numCache>
                <c:formatCode>0.0000%</c:formatCode>
                <c:ptCount val="61"/>
                <c:pt idx="0">
                  <c:v>0.04</c:v>
                </c:pt>
                <c:pt idx="1">
                  <c:v>3.8425733963860044E-2</c:v>
                </c:pt>
                <c:pt idx="2">
                  <c:v>4.0576394872106257E-2</c:v>
                </c:pt>
                <c:pt idx="3">
                  <c:v>4.0258475689068686E-2</c:v>
                </c:pt>
                <c:pt idx="4">
                  <c:v>4.124364614107881E-2</c:v>
                </c:pt>
                <c:pt idx="5">
                  <c:v>4.3106821357398836E-2</c:v>
                </c:pt>
                <c:pt idx="6">
                  <c:v>4.0992732328426651E-2</c:v>
                </c:pt>
                <c:pt idx="7">
                  <c:v>4.0575674708262496E-2</c:v>
                </c:pt>
                <c:pt idx="8">
                  <c:v>4.5048863231468957E-2</c:v>
                </c:pt>
                <c:pt idx="9">
                  <c:v>4.5853814776116331E-2</c:v>
                </c:pt>
                <c:pt idx="10">
                  <c:v>3.8780614028195944E-2</c:v>
                </c:pt>
                <c:pt idx="11">
                  <c:v>3.7859311171687018E-2</c:v>
                </c:pt>
                <c:pt idx="12">
                  <c:v>3.6045041103818141E-2</c:v>
                </c:pt>
                <c:pt idx="13">
                  <c:v>3.5856057910688785E-2</c:v>
                </c:pt>
                <c:pt idx="14">
                  <c:v>3.223029999675979E-2</c:v>
                </c:pt>
                <c:pt idx="15">
                  <c:v>3.4136970335998336E-2</c:v>
                </c:pt>
                <c:pt idx="16">
                  <c:v>3.619383620754929E-2</c:v>
                </c:pt>
                <c:pt idx="17">
                  <c:v>3.8392298799328949E-2</c:v>
                </c:pt>
                <c:pt idx="18">
                  <c:v>3.9850226868888464E-2</c:v>
                </c:pt>
                <c:pt idx="19">
                  <c:v>3.879050158860331E-2</c:v>
                </c:pt>
                <c:pt idx="20">
                  <c:v>4.099705565900412E-2</c:v>
                </c:pt>
                <c:pt idx="21">
                  <c:v>4.5857224110403716E-2</c:v>
                </c:pt>
                <c:pt idx="22">
                  <c:v>4.3514819517257546E-2</c:v>
                </c:pt>
                <c:pt idx="23">
                  <c:v>4.3812315322926877E-2</c:v>
                </c:pt>
                <c:pt idx="24">
                  <c:v>4.4856071057190187E-2</c:v>
                </c:pt>
                <c:pt idx="25">
                  <c:v>4.3762835666120381E-2</c:v>
                </c:pt>
                <c:pt idx="26">
                  <c:v>4.7540261342930684E-2</c:v>
                </c:pt>
                <c:pt idx="27">
                  <c:v>5.2257860526758682E-2</c:v>
                </c:pt>
                <c:pt idx="28">
                  <c:v>5.5542116508689295E-2</c:v>
                </c:pt>
                <c:pt idx="29">
                  <c:v>4.8569965875801924E-2</c:v>
                </c:pt>
                <c:pt idx="30">
                  <c:v>4.6187075769416622E-2</c:v>
                </c:pt>
                <c:pt idx="31">
                  <c:v>4.4237896445047463E-2</c:v>
                </c:pt>
                <c:pt idx="32">
                  <c:v>4.3558574303160368E-2</c:v>
                </c:pt>
                <c:pt idx="33">
                  <c:v>4.6736119182752188E-2</c:v>
                </c:pt>
                <c:pt idx="34">
                  <c:v>4.3995916119295125E-2</c:v>
                </c:pt>
                <c:pt idx="35">
                  <c:v>4.5591668857172703E-2</c:v>
                </c:pt>
                <c:pt idx="36">
                  <c:v>3.9886684875222143E-2</c:v>
                </c:pt>
                <c:pt idx="37">
                  <c:v>4.5433903182265499E-2</c:v>
                </c:pt>
                <c:pt idx="38">
                  <c:v>4.6736638524939908E-2</c:v>
                </c:pt>
                <c:pt idx="39">
                  <c:v>4.4724496308232338E-2</c:v>
                </c:pt>
                <c:pt idx="40">
                  <c:v>4.2783111744260464E-2</c:v>
                </c:pt>
                <c:pt idx="41">
                  <c:v>4.334872896296961E-2</c:v>
                </c:pt>
                <c:pt idx="42">
                  <c:v>4.0560217312713046E-2</c:v>
                </c:pt>
                <c:pt idx="43">
                  <c:v>4.5189362573941828E-2</c:v>
                </c:pt>
                <c:pt idx="44">
                  <c:v>4.651987710206644E-2</c:v>
                </c:pt>
                <c:pt idx="45">
                  <c:v>4.0511920410735244E-2</c:v>
                </c:pt>
                <c:pt idx="46">
                  <c:v>4.4154980810560823E-2</c:v>
                </c:pt>
                <c:pt idx="47">
                  <c:v>4.7004153656039944E-2</c:v>
                </c:pt>
                <c:pt idx="48">
                  <c:v>4.3451239579511816E-2</c:v>
                </c:pt>
                <c:pt idx="49">
                  <c:v>4.2432171460169851E-2</c:v>
                </c:pt>
                <c:pt idx="50">
                  <c:v>4.6742231818969741E-2</c:v>
                </c:pt>
                <c:pt idx="51">
                  <c:v>4.615979545029561E-2</c:v>
                </c:pt>
                <c:pt idx="52">
                  <c:v>4.6085135644048113E-2</c:v>
                </c:pt>
                <c:pt idx="53">
                  <c:v>4.4506003978480896E-2</c:v>
                </c:pt>
                <c:pt idx="54">
                  <c:v>4.1782156113981839E-2</c:v>
                </c:pt>
                <c:pt idx="55">
                  <c:v>4.5038102906208674E-2</c:v>
                </c:pt>
                <c:pt idx="56">
                  <c:v>4.2550502606947566E-2</c:v>
                </c:pt>
                <c:pt idx="57">
                  <c:v>4.2162580809962748E-2</c:v>
                </c:pt>
                <c:pt idx="58">
                  <c:v>3.9954331297724854E-2</c:v>
                </c:pt>
                <c:pt idx="59">
                  <c:v>4.2878631353265917E-2</c:v>
                </c:pt>
                <c:pt idx="60">
                  <c:v>4.4791714734331051E-2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9D1-6444-BAF2-A18F71EF3071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Scenarios'!$AK$3:$AK$63</c:f>
              <c:numCache>
                <c:formatCode>0.0000%</c:formatCode>
                <c:ptCount val="61"/>
                <c:pt idx="0">
                  <c:v>0.04</c:v>
                </c:pt>
                <c:pt idx="1">
                  <c:v>4.251115618897134E-2</c:v>
                </c:pt>
                <c:pt idx="2">
                  <c:v>4.19020553333933E-2</c:v>
                </c:pt>
                <c:pt idx="3">
                  <c:v>4.3386170456843356E-2</c:v>
                </c:pt>
                <c:pt idx="4">
                  <c:v>4.2271848923802237E-2</c:v>
                </c:pt>
                <c:pt idx="5">
                  <c:v>4.7594223857476671E-2</c:v>
                </c:pt>
                <c:pt idx="6">
                  <c:v>5.00326499048179E-2</c:v>
                </c:pt>
                <c:pt idx="7">
                  <c:v>5.0565695153168437E-2</c:v>
                </c:pt>
                <c:pt idx="8">
                  <c:v>4.4661543514511126E-2</c:v>
                </c:pt>
                <c:pt idx="9">
                  <c:v>4.4189280800056095E-2</c:v>
                </c:pt>
                <c:pt idx="10">
                  <c:v>4.0621382349003275E-2</c:v>
                </c:pt>
                <c:pt idx="11">
                  <c:v>3.8464509007154625E-2</c:v>
                </c:pt>
                <c:pt idx="12">
                  <c:v>3.9269709538196362E-2</c:v>
                </c:pt>
                <c:pt idx="13">
                  <c:v>4.135684483480017E-2</c:v>
                </c:pt>
                <c:pt idx="14">
                  <c:v>4.0976752357129088E-2</c:v>
                </c:pt>
                <c:pt idx="15">
                  <c:v>4.21167193009611E-2</c:v>
                </c:pt>
                <c:pt idx="16">
                  <c:v>4.6936787335322097E-2</c:v>
                </c:pt>
                <c:pt idx="17">
                  <c:v>4.6863946184638079E-2</c:v>
                </c:pt>
                <c:pt idx="18">
                  <c:v>4.2349420657557084E-2</c:v>
                </c:pt>
                <c:pt idx="19">
                  <c:v>4.5290156515656148E-2</c:v>
                </c:pt>
                <c:pt idx="20">
                  <c:v>3.7444753266549849E-2</c:v>
                </c:pt>
                <c:pt idx="21">
                  <c:v>3.5586683008715092E-2</c:v>
                </c:pt>
                <c:pt idx="22">
                  <c:v>3.2244099339232071E-2</c:v>
                </c:pt>
                <c:pt idx="23">
                  <c:v>2.9331741226100244E-2</c:v>
                </c:pt>
                <c:pt idx="24">
                  <c:v>3.0944791317395155E-2</c:v>
                </c:pt>
                <c:pt idx="25">
                  <c:v>2.7964659262413798E-2</c:v>
                </c:pt>
                <c:pt idx="26">
                  <c:v>2.5280188704674859E-2</c:v>
                </c:pt>
                <c:pt idx="27">
                  <c:v>2.068625556878646E-2</c:v>
                </c:pt>
                <c:pt idx="28">
                  <c:v>1.8370425113310135E-2</c:v>
                </c:pt>
                <c:pt idx="29">
                  <c:v>1.887609593219337E-2</c:v>
                </c:pt>
                <c:pt idx="30">
                  <c:v>2.0156611691691077E-2</c:v>
                </c:pt>
                <c:pt idx="31">
                  <c:v>1.9555917960780884E-2</c:v>
                </c:pt>
                <c:pt idx="32">
                  <c:v>1.8575412734039797E-2</c:v>
                </c:pt>
                <c:pt idx="33">
                  <c:v>1.9249092414433091E-2</c:v>
                </c:pt>
                <c:pt idx="34">
                  <c:v>2.2046167588289416E-2</c:v>
                </c:pt>
                <c:pt idx="35">
                  <c:v>2.1469824273087398E-2</c:v>
                </c:pt>
                <c:pt idx="36">
                  <c:v>2.0889802080212509E-2</c:v>
                </c:pt>
                <c:pt idx="37">
                  <c:v>1.5466329976773285E-2</c:v>
                </c:pt>
                <c:pt idx="38">
                  <c:v>1.3442828034448054E-2</c:v>
                </c:pt>
                <c:pt idx="39">
                  <c:v>1.2684197476249003E-2</c:v>
                </c:pt>
                <c:pt idx="40">
                  <c:v>1.3397335547243386E-2</c:v>
                </c:pt>
                <c:pt idx="41">
                  <c:v>1.5560684707617987E-2</c:v>
                </c:pt>
                <c:pt idx="42">
                  <c:v>1.8031864247586214E-2</c:v>
                </c:pt>
                <c:pt idx="43">
                  <c:v>1.7954638809144184E-2</c:v>
                </c:pt>
                <c:pt idx="44">
                  <c:v>1.8493480354855808E-2</c:v>
                </c:pt>
                <c:pt idx="45">
                  <c:v>1.6181426325344278E-2</c:v>
                </c:pt>
                <c:pt idx="46">
                  <c:v>1.9233616322963439E-2</c:v>
                </c:pt>
                <c:pt idx="47">
                  <c:v>2.0982323672272717E-2</c:v>
                </c:pt>
                <c:pt idx="48">
                  <c:v>1.9555149896349572E-2</c:v>
                </c:pt>
                <c:pt idx="49">
                  <c:v>2.4588411817969127E-2</c:v>
                </c:pt>
                <c:pt idx="50">
                  <c:v>2.5105583359307727E-2</c:v>
                </c:pt>
                <c:pt idx="51">
                  <c:v>2.831826250536541E-2</c:v>
                </c:pt>
                <c:pt idx="52">
                  <c:v>2.7860267976324647E-2</c:v>
                </c:pt>
                <c:pt idx="53">
                  <c:v>2.1224486021619578E-2</c:v>
                </c:pt>
                <c:pt idx="54">
                  <c:v>2.0724561200578445E-2</c:v>
                </c:pt>
                <c:pt idx="55">
                  <c:v>2.1832086475131223E-2</c:v>
                </c:pt>
                <c:pt idx="56">
                  <c:v>1.9998398191840037E-2</c:v>
                </c:pt>
                <c:pt idx="57">
                  <c:v>2.0660244176398751E-2</c:v>
                </c:pt>
                <c:pt idx="58">
                  <c:v>1.9717308796173852E-2</c:v>
                </c:pt>
                <c:pt idx="59">
                  <c:v>1.7568993602155782E-2</c:v>
                </c:pt>
                <c:pt idx="60">
                  <c:v>2.0026673216094724E-2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D1-6444-BAF2-A18F71EF3071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Scenarios'!$AL$3:$AL$63</c:f>
              <c:numCache>
                <c:formatCode>0.0000%</c:formatCode>
                <c:ptCount val="61"/>
                <c:pt idx="0">
                  <c:v>0.04</c:v>
                </c:pt>
                <c:pt idx="1">
                  <c:v>4.0268084321171842E-2</c:v>
                </c:pt>
                <c:pt idx="2">
                  <c:v>4.3818564632934646E-2</c:v>
                </c:pt>
                <c:pt idx="3">
                  <c:v>4.6194693564597399E-2</c:v>
                </c:pt>
                <c:pt idx="4">
                  <c:v>5.368282694933782E-2</c:v>
                </c:pt>
                <c:pt idx="5">
                  <c:v>5.5981622099226858E-2</c:v>
                </c:pt>
                <c:pt idx="6">
                  <c:v>5.4626161671851928E-2</c:v>
                </c:pt>
                <c:pt idx="7">
                  <c:v>5.8573570768810014E-2</c:v>
                </c:pt>
                <c:pt idx="8">
                  <c:v>5.2437255093289892E-2</c:v>
                </c:pt>
                <c:pt idx="9">
                  <c:v>5.2550484952919453E-2</c:v>
                </c:pt>
                <c:pt idx="10">
                  <c:v>6.1423701133123045E-2</c:v>
                </c:pt>
                <c:pt idx="11">
                  <c:v>6.7817537705293904E-2</c:v>
                </c:pt>
                <c:pt idx="12">
                  <c:v>6.8833691124831592E-2</c:v>
                </c:pt>
                <c:pt idx="13">
                  <c:v>6.5401871775498263E-2</c:v>
                </c:pt>
                <c:pt idx="14">
                  <c:v>6.7125242509976812E-2</c:v>
                </c:pt>
                <c:pt idx="15">
                  <c:v>7.3018334061010701E-2</c:v>
                </c:pt>
                <c:pt idx="16">
                  <c:v>7.7020435500627094E-2</c:v>
                </c:pt>
                <c:pt idx="17">
                  <c:v>7.6382602838568459E-2</c:v>
                </c:pt>
                <c:pt idx="18">
                  <c:v>7.9360374341075138E-2</c:v>
                </c:pt>
                <c:pt idx="19">
                  <c:v>7.5322477870573029E-2</c:v>
                </c:pt>
                <c:pt idx="20">
                  <c:v>8.1435882419552713E-2</c:v>
                </c:pt>
                <c:pt idx="21">
                  <c:v>8.1083302453713813E-2</c:v>
                </c:pt>
                <c:pt idx="22">
                  <c:v>8.1738046062755004E-2</c:v>
                </c:pt>
                <c:pt idx="23">
                  <c:v>9.2276323516258529E-2</c:v>
                </c:pt>
                <c:pt idx="24">
                  <c:v>9.7128531057894055E-2</c:v>
                </c:pt>
                <c:pt idx="25">
                  <c:v>9.1753659271025745E-2</c:v>
                </c:pt>
                <c:pt idx="26">
                  <c:v>9.7809104443873238E-2</c:v>
                </c:pt>
                <c:pt idx="27">
                  <c:v>9.2565556508639887E-2</c:v>
                </c:pt>
                <c:pt idx="28">
                  <c:v>8.3170468164928901E-2</c:v>
                </c:pt>
                <c:pt idx="29">
                  <c:v>8.811970002464159E-2</c:v>
                </c:pt>
                <c:pt idx="30">
                  <c:v>9.0882127098409815E-2</c:v>
                </c:pt>
                <c:pt idx="31">
                  <c:v>8.5420347777961064E-2</c:v>
                </c:pt>
                <c:pt idx="32">
                  <c:v>8.2504291079636291E-2</c:v>
                </c:pt>
                <c:pt idx="33">
                  <c:v>8.3017378410775583E-2</c:v>
                </c:pt>
                <c:pt idx="34">
                  <c:v>8.0908733046930442E-2</c:v>
                </c:pt>
                <c:pt idx="35">
                  <c:v>8.1027923203229393E-2</c:v>
                </c:pt>
                <c:pt idx="36">
                  <c:v>9.3001948837891368E-2</c:v>
                </c:pt>
                <c:pt idx="37">
                  <c:v>9.2121272200601442E-2</c:v>
                </c:pt>
                <c:pt idx="38">
                  <c:v>9.483594330130328E-2</c:v>
                </c:pt>
                <c:pt idx="39">
                  <c:v>9.670076392371052E-2</c:v>
                </c:pt>
                <c:pt idx="40">
                  <c:v>9.5065282718635888E-2</c:v>
                </c:pt>
                <c:pt idx="41">
                  <c:v>9.2791066178821033E-2</c:v>
                </c:pt>
                <c:pt idx="42">
                  <c:v>9.0954998154848393E-2</c:v>
                </c:pt>
                <c:pt idx="43">
                  <c:v>8.6995760077014275E-2</c:v>
                </c:pt>
                <c:pt idx="44">
                  <c:v>8.6435745149404955E-2</c:v>
                </c:pt>
                <c:pt idx="45">
                  <c:v>8.0883536317013033E-2</c:v>
                </c:pt>
                <c:pt idx="46">
                  <c:v>7.5979426087750268E-2</c:v>
                </c:pt>
                <c:pt idx="47">
                  <c:v>6.8024315929422097E-2</c:v>
                </c:pt>
                <c:pt idx="48">
                  <c:v>7.197533582432647E-2</c:v>
                </c:pt>
                <c:pt idx="49">
                  <c:v>7.5300055365028234E-2</c:v>
                </c:pt>
                <c:pt idx="50">
                  <c:v>7.7979718623152963E-2</c:v>
                </c:pt>
                <c:pt idx="51">
                  <c:v>7.3436821419702078E-2</c:v>
                </c:pt>
                <c:pt idx="52">
                  <c:v>7.7316956548467416E-2</c:v>
                </c:pt>
                <c:pt idx="53">
                  <c:v>7.2171047927369725E-2</c:v>
                </c:pt>
                <c:pt idx="54">
                  <c:v>7.1319642929795743E-2</c:v>
                </c:pt>
                <c:pt idx="55">
                  <c:v>7.3025015820688849E-2</c:v>
                </c:pt>
                <c:pt idx="56">
                  <c:v>7.2787352914398085E-2</c:v>
                </c:pt>
                <c:pt idx="57">
                  <c:v>7.9338536167711776E-2</c:v>
                </c:pt>
                <c:pt idx="58">
                  <c:v>7.5608211900126107E-2</c:v>
                </c:pt>
                <c:pt idx="59">
                  <c:v>7.6197635176684611E-2</c:v>
                </c:pt>
                <c:pt idx="60">
                  <c:v>7.7523750377085893E-2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9D1-6444-BAF2-A18F71EF3071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Scenarios'!$AM$3:$AM$63</c:f>
              <c:numCache>
                <c:formatCode>0.0000%</c:formatCode>
                <c:ptCount val="61"/>
                <c:pt idx="0">
                  <c:v>0.04</c:v>
                </c:pt>
                <c:pt idx="1">
                  <c:v>4.2778632809301213E-2</c:v>
                </c:pt>
                <c:pt idx="2">
                  <c:v>4.4184861357759064E-2</c:v>
                </c:pt>
                <c:pt idx="3">
                  <c:v>4.4837620125666409E-2</c:v>
                </c:pt>
                <c:pt idx="4">
                  <c:v>3.720581782243771E-2</c:v>
                </c:pt>
                <c:pt idx="5">
                  <c:v>3.8944076791895016E-2</c:v>
                </c:pt>
                <c:pt idx="6">
                  <c:v>3.7802750717018087E-2</c:v>
                </c:pt>
                <c:pt idx="7">
                  <c:v>3.5391686312911945E-2</c:v>
                </c:pt>
                <c:pt idx="8">
                  <c:v>3.823600793733372E-2</c:v>
                </c:pt>
                <c:pt idx="9">
                  <c:v>3.7956148654205303E-2</c:v>
                </c:pt>
                <c:pt idx="10">
                  <c:v>4.1232293276409128E-2</c:v>
                </c:pt>
                <c:pt idx="11">
                  <c:v>4.4276565275536924E-2</c:v>
                </c:pt>
                <c:pt idx="12">
                  <c:v>4.4687646738647724E-2</c:v>
                </c:pt>
                <c:pt idx="13">
                  <c:v>3.8067217271826645E-2</c:v>
                </c:pt>
                <c:pt idx="14">
                  <c:v>4.4216657503567319E-2</c:v>
                </c:pt>
                <c:pt idx="15">
                  <c:v>4.8530516811727702E-2</c:v>
                </c:pt>
                <c:pt idx="16">
                  <c:v>5.3938244037092055E-2</c:v>
                </c:pt>
                <c:pt idx="17">
                  <c:v>5.8743551233630689E-2</c:v>
                </c:pt>
                <c:pt idx="18">
                  <c:v>6.217299829895391E-2</c:v>
                </c:pt>
                <c:pt idx="19">
                  <c:v>5.602334171507771E-2</c:v>
                </c:pt>
                <c:pt idx="20">
                  <c:v>5.4523924712288153E-2</c:v>
                </c:pt>
                <c:pt idx="21">
                  <c:v>5.3503310674591742E-2</c:v>
                </c:pt>
                <c:pt idx="22">
                  <c:v>4.8651191415927615E-2</c:v>
                </c:pt>
                <c:pt idx="23">
                  <c:v>4.1676503249977424E-2</c:v>
                </c:pt>
                <c:pt idx="24">
                  <c:v>4.3403406891666781E-2</c:v>
                </c:pt>
                <c:pt idx="25">
                  <c:v>5.1533024034926128E-2</c:v>
                </c:pt>
                <c:pt idx="26">
                  <c:v>5.0053194161243847E-2</c:v>
                </c:pt>
                <c:pt idx="27">
                  <c:v>5.0317616489118963E-2</c:v>
                </c:pt>
                <c:pt idx="28">
                  <c:v>4.6502810729891216E-2</c:v>
                </c:pt>
                <c:pt idx="29">
                  <c:v>5.1394618817616367E-2</c:v>
                </c:pt>
                <c:pt idx="30">
                  <c:v>5.2621281533820764E-2</c:v>
                </c:pt>
                <c:pt idx="31">
                  <c:v>5.1568239805971708E-2</c:v>
                </c:pt>
                <c:pt idx="32">
                  <c:v>5.3708613185729309E-2</c:v>
                </c:pt>
                <c:pt idx="33">
                  <c:v>5.1146580900861591E-2</c:v>
                </c:pt>
                <c:pt idx="34">
                  <c:v>5.4453310622951452E-2</c:v>
                </c:pt>
                <c:pt idx="35">
                  <c:v>5.018316934576867E-2</c:v>
                </c:pt>
                <c:pt idx="36">
                  <c:v>5.3030562953024475E-2</c:v>
                </c:pt>
                <c:pt idx="37">
                  <c:v>5.0649448796334214E-2</c:v>
                </c:pt>
                <c:pt idx="38">
                  <c:v>3.9138719119500204E-2</c:v>
                </c:pt>
                <c:pt idx="39">
                  <c:v>3.5754252368067604E-2</c:v>
                </c:pt>
                <c:pt idx="40">
                  <c:v>3.5083737007603762E-2</c:v>
                </c:pt>
                <c:pt idx="41">
                  <c:v>3.124921763753934E-2</c:v>
                </c:pt>
                <c:pt idx="42">
                  <c:v>3.243833490197754E-2</c:v>
                </c:pt>
                <c:pt idx="43">
                  <c:v>3.3900353287612858E-2</c:v>
                </c:pt>
                <c:pt idx="44">
                  <c:v>3.3565539292163347E-2</c:v>
                </c:pt>
                <c:pt idx="45">
                  <c:v>3.7433084901797607E-2</c:v>
                </c:pt>
                <c:pt idx="46">
                  <c:v>4.0990029746124534E-2</c:v>
                </c:pt>
                <c:pt idx="47">
                  <c:v>3.6793156902038E-2</c:v>
                </c:pt>
                <c:pt idx="48">
                  <c:v>3.8810922066102878E-2</c:v>
                </c:pt>
                <c:pt idx="49">
                  <c:v>3.9153783265208346E-2</c:v>
                </c:pt>
                <c:pt idx="50">
                  <c:v>3.8049368221586034E-2</c:v>
                </c:pt>
                <c:pt idx="51">
                  <c:v>3.8144139728848475E-2</c:v>
                </c:pt>
                <c:pt idx="52">
                  <c:v>4.2451363582000613E-2</c:v>
                </c:pt>
                <c:pt idx="53">
                  <c:v>3.9412980733969108E-2</c:v>
                </c:pt>
                <c:pt idx="54">
                  <c:v>4.2814458622724781E-2</c:v>
                </c:pt>
                <c:pt idx="55">
                  <c:v>4.8732794974106604E-2</c:v>
                </c:pt>
                <c:pt idx="56">
                  <c:v>4.5690364655220479E-2</c:v>
                </c:pt>
                <c:pt idx="57">
                  <c:v>3.8207143259904069E-2</c:v>
                </c:pt>
                <c:pt idx="58">
                  <c:v>3.4849430258365267E-2</c:v>
                </c:pt>
                <c:pt idx="59">
                  <c:v>3.8812524957902404E-2</c:v>
                </c:pt>
                <c:pt idx="60">
                  <c:v>4.0228030771304789E-2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D1-6444-BAF2-A18F71EF3071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Scenarios'!$AN$3:$AN$63</c:f>
              <c:numCache>
                <c:formatCode>0.0000%</c:formatCode>
                <c:ptCount val="61"/>
                <c:pt idx="0">
                  <c:v>0.04</c:v>
                </c:pt>
                <c:pt idx="1">
                  <c:v>3.8542504750688517E-2</c:v>
                </c:pt>
                <c:pt idx="2">
                  <c:v>3.3407902873152012E-2</c:v>
                </c:pt>
                <c:pt idx="3">
                  <c:v>2.8188029507897318E-2</c:v>
                </c:pt>
                <c:pt idx="4">
                  <c:v>2.7062583961525673E-2</c:v>
                </c:pt>
                <c:pt idx="5">
                  <c:v>2.6924857744445335E-2</c:v>
                </c:pt>
                <c:pt idx="6">
                  <c:v>2.3926204771080064E-2</c:v>
                </c:pt>
                <c:pt idx="7">
                  <c:v>2.2385296152304609E-2</c:v>
                </c:pt>
                <c:pt idx="8">
                  <c:v>2.0958915650663764E-2</c:v>
                </c:pt>
                <c:pt idx="9">
                  <c:v>1.9253938987156039E-2</c:v>
                </c:pt>
                <c:pt idx="10">
                  <c:v>1.9809632294981075E-2</c:v>
                </c:pt>
                <c:pt idx="11">
                  <c:v>2.0190313354208997E-2</c:v>
                </c:pt>
                <c:pt idx="12">
                  <c:v>2.2661404767413001E-2</c:v>
                </c:pt>
                <c:pt idx="13">
                  <c:v>2.2597837922527977E-2</c:v>
                </c:pt>
                <c:pt idx="14">
                  <c:v>1.8985339097552789E-2</c:v>
                </c:pt>
                <c:pt idx="15">
                  <c:v>2.1436661862794838E-2</c:v>
                </c:pt>
                <c:pt idx="16">
                  <c:v>2.077186985240026E-2</c:v>
                </c:pt>
                <c:pt idx="17">
                  <c:v>2.0828911052494341E-2</c:v>
                </c:pt>
                <c:pt idx="18">
                  <c:v>2.2921553220152074E-2</c:v>
                </c:pt>
                <c:pt idx="19">
                  <c:v>2.2174367941736502E-2</c:v>
                </c:pt>
                <c:pt idx="20">
                  <c:v>2.6551885002622511E-2</c:v>
                </c:pt>
                <c:pt idx="21">
                  <c:v>2.7149504873497474E-2</c:v>
                </c:pt>
                <c:pt idx="22">
                  <c:v>2.8232553961149216E-2</c:v>
                </c:pt>
                <c:pt idx="23">
                  <c:v>2.7177785217539288E-2</c:v>
                </c:pt>
                <c:pt idx="24">
                  <c:v>2.5039189585692519E-2</c:v>
                </c:pt>
                <c:pt idx="25">
                  <c:v>2.4362626594466578E-2</c:v>
                </c:pt>
                <c:pt idx="26">
                  <c:v>2.4513903742949053E-2</c:v>
                </c:pt>
                <c:pt idx="27">
                  <c:v>2.7468914125546612E-2</c:v>
                </c:pt>
                <c:pt idx="28">
                  <c:v>2.8105638372976912E-2</c:v>
                </c:pt>
                <c:pt idx="29">
                  <c:v>2.5178314133161156E-2</c:v>
                </c:pt>
                <c:pt idx="30">
                  <c:v>2.3841826259623965E-2</c:v>
                </c:pt>
                <c:pt idx="31">
                  <c:v>2.7282807902599019E-2</c:v>
                </c:pt>
                <c:pt idx="32">
                  <c:v>3.3374494284088556E-2</c:v>
                </c:pt>
                <c:pt idx="33">
                  <c:v>3.5412063271096791E-2</c:v>
                </c:pt>
                <c:pt idx="34">
                  <c:v>3.3938785999080394E-2</c:v>
                </c:pt>
                <c:pt idx="35">
                  <c:v>3.5293267386662781E-2</c:v>
                </c:pt>
                <c:pt idx="36">
                  <c:v>3.1808729250959428E-2</c:v>
                </c:pt>
                <c:pt idx="37">
                  <c:v>3.1471910359600515E-2</c:v>
                </c:pt>
                <c:pt idx="38">
                  <c:v>3.0141606626122624E-2</c:v>
                </c:pt>
                <c:pt idx="39">
                  <c:v>3.1655940022988847E-2</c:v>
                </c:pt>
                <c:pt idx="40">
                  <c:v>2.7908442592494375E-2</c:v>
                </c:pt>
                <c:pt idx="41">
                  <c:v>2.9983099285493111E-2</c:v>
                </c:pt>
                <c:pt idx="42">
                  <c:v>2.8978889806205322E-2</c:v>
                </c:pt>
                <c:pt idx="43">
                  <c:v>2.5916728281651813E-2</c:v>
                </c:pt>
                <c:pt idx="44">
                  <c:v>2.9644548323702634E-2</c:v>
                </c:pt>
                <c:pt idx="45">
                  <c:v>3.3485492170912061E-2</c:v>
                </c:pt>
                <c:pt idx="46">
                  <c:v>3.2719127712828235E-2</c:v>
                </c:pt>
                <c:pt idx="47">
                  <c:v>3.7088199847258869E-2</c:v>
                </c:pt>
                <c:pt idx="48">
                  <c:v>4.2899736536666261E-2</c:v>
                </c:pt>
                <c:pt idx="49">
                  <c:v>3.9306032674464066E-2</c:v>
                </c:pt>
                <c:pt idx="50">
                  <c:v>4.2343249349827222E-2</c:v>
                </c:pt>
                <c:pt idx="51">
                  <c:v>3.877067694000088E-2</c:v>
                </c:pt>
                <c:pt idx="52">
                  <c:v>3.9782780678041092E-2</c:v>
                </c:pt>
                <c:pt idx="53">
                  <c:v>4.4006775700922603E-2</c:v>
                </c:pt>
                <c:pt idx="54">
                  <c:v>4.1300896396519099E-2</c:v>
                </c:pt>
                <c:pt idx="55">
                  <c:v>3.8492815677978569E-2</c:v>
                </c:pt>
                <c:pt idx="56">
                  <c:v>3.677011709513147E-2</c:v>
                </c:pt>
                <c:pt idx="57">
                  <c:v>4.1357785990533504E-2</c:v>
                </c:pt>
                <c:pt idx="58">
                  <c:v>4.3425743529895651E-2</c:v>
                </c:pt>
                <c:pt idx="59">
                  <c:v>4.5077904223037764E-2</c:v>
                </c:pt>
                <c:pt idx="60">
                  <c:v>5.0536866603596957E-2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9D1-6444-BAF2-A18F71EF3071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Scenarios'!$AO$3:$AO$63</c:f>
              <c:numCache>
                <c:formatCode>0.0000%</c:formatCode>
                <c:ptCount val="61"/>
                <c:pt idx="0">
                  <c:v>0.04</c:v>
                </c:pt>
                <c:pt idx="1">
                  <c:v>4.0157483254087689E-2</c:v>
                </c:pt>
                <c:pt idx="2">
                  <c:v>3.7532808275657505E-2</c:v>
                </c:pt>
                <c:pt idx="3">
                  <c:v>3.2740898846946781E-2</c:v>
                </c:pt>
                <c:pt idx="4">
                  <c:v>3.3394419018590221E-2</c:v>
                </c:pt>
                <c:pt idx="5">
                  <c:v>3.4012040580163418E-2</c:v>
                </c:pt>
                <c:pt idx="6">
                  <c:v>3.8252636116580557E-2</c:v>
                </c:pt>
                <c:pt idx="7">
                  <c:v>3.2452389914424985E-2</c:v>
                </c:pt>
                <c:pt idx="8">
                  <c:v>2.5546320725554468E-2</c:v>
                </c:pt>
                <c:pt idx="9">
                  <c:v>2.4304371181546231E-2</c:v>
                </c:pt>
                <c:pt idx="10">
                  <c:v>2.3820548891549467E-2</c:v>
                </c:pt>
                <c:pt idx="11">
                  <c:v>2.5441019065843371E-2</c:v>
                </c:pt>
                <c:pt idx="12">
                  <c:v>2.6984403501342215E-2</c:v>
                </c:pt>
                <c:pt idx="13">
                  <c:v>2.658279728396843E-2</c:v>
                </c:pt>
                <c:pt idx="14">
                  <c:v>2.7233165434309089E-2</c:v>
                </c:pt>
                <c:pt idx="15">
                  <c:v>2.7046898992248315E-2</c:v>
                </c:pt>
                <c:pt idx="16">
                  <c:v>2.9186626576737928E-2</c:v>
                </c:pt>
                <c:pt idx="17">
                  <c:v>2.6935027621444181E-2</c:v>
                </c:pt>
                <c:pt idx="18">
                  <c:v>2.6237497986669658E-2</c:v>
                </c:pt>
                <c:pt idx="19">
                  <c:v>2.6751373878906626E-2</c:v>
                </c:pt>
                <c:pt idx="20">
                  <c:v>2.6101512501387963E-2</c:v>
                </c:pt>
                <c:pt idx="21">
                  <c:v>2.7484703202771046E-2</c:v>
                </c:pt>
                <c:pt idx="22">
                  <c:v>2.7410807917407704E-2</c:v>
                </c:pt>
                <c:pt idx="23">
                  <c:v>3.3305538209247219E-2</c:v>
                </c:pt>
                <c:pt idx="24">
                  <c:v>2.7765860476367733E-2</c:v>
                </c:pt>
                <c:pt idx="25">
                  <c:v>2.4016705675685944E-2</c:v>
                </c:pt>
                <c:pt idx="26">
                  <c:v>2.5950150817631197E-2</c:v>
                </c:pt>
                <c:pt idx="27">
                  <c:v>2.6708932479700555E-2</c:v>
                </c:pt>
                <c:pt idx="28">
                  <c:v>2.5361889182320733E-2</c:v>
                </c:pt>
                <c:pt idx="29">
                  <c:v>2.428847016842425E-2</c:v>
                </c:pt>
                <c:pt idx="30">
                  <c:v>2.8181025584105315E-2</c:v>
                </c:pt>
                <c:pt idx="31">
                  <c:v>2.7927046532542625E-2</c:v>
                </c:pt>
                <c:pt idx="32">
                  <c:v>3.1706411910299818E-2</c:v>
                </c:pt>
                <c:pt idx="33">
                  <c:v>3.0378078958780537E-2</c:v>
                </c:pt>
                <c:pt idx="34">
                  <c:v>3.6806296757074718E-2</c:v>
                </c:pt>
                <c:pt idx="35">
                  <c:v>3.5334686195183436E-2</c:v>
                </c:pt>
                <c:pt idx="36">
                  <c:v>3.6691851910926471E-2</c:v>
                </c:pt>
                <c:pt idx="37">
                  <c:v>3.9743442877238112E-2</c:v>
                </c:pt>
                <c:pt idx="38">
                  <c:v>3.8222751855280339E-2</c:v>
                </c:pt>
                <c:pt idx="39">
                  <c:v>3.8136416736925492E-2</c:v>
                </c:pt>
                <c:pt idx="40">
                  <c:v>4.1574112810809548E-2</c:v>
                </c:pt>
                <c:pt idx="41">
                  <c:v>4.5574859298995456E-2</c:v>
                </c:pt>
                <c:pt idx="42">
                  <c:v>4.0785028891640512E-2</c:v>
                </c:pt>
                <c:pt idx="43">
                  <c:v>4.0788096958578726E-2</c:v>
                </c:pt>
                <c:pt idx="44">
                  <c:v>4.2099826145352945E-2</c:v>
                </c:pt>
                <c:pt idx="45">
                  <c:v>4.517045768583948E-2</c:v>
                </c:pt>
                <c:pt idx="46">
                  <c:v>5.2190584556679284E-2</c:v>
                </c:pt>
                <c:pt idx="47">
                  <c:v>5.5024175161392117E-2</c:v>
                </c:pt>
                <c:pt idx="48">
                  <c:v>4.5816119371303553E-2</c:v>
                </c:pt>
                <c:pt idx="49">
                  <c:v>4.6261800004397349E-2</c:v>
                </c:pt>
                <c:pt idx="50">
                  <c:v>4.8587016203920932E-2</c:v>
                </c:pt>
                <c:pt idx="51">
                  <c:v>5.0471304794242042E-2</c:v>
                </c:pt>
                <c:pt idx="52">
                  <c:v>5.4276109119351865E-2</c:v>
                </c:pt>
                <c:pt idx="53">
                  <c:v>4.8164423042183185E-2</c:v>
                </c:pt>
                <c:pt idx="54">
                  <c:v>4.6861600325824725E-2</c:v>
                </c:pt>
                <c:pt idx="55">
                  <c:v>5.0259475410731502E-2</c:v>
                </c:pt>
                <c:pt idx="56">
                  <c:v>4.8466911257426436E-2</c:v>
                </c:pt>
                <c:pt idx="57">
                  <c:v>4.4021115076603987E-2</c:v>
                </c:pt>
                <c:pt idx="58">
                  <c:v>4.9793016187167742E-2</c:v>
                </c:pt>
                <c:pt idx="59">
                  <c:v>4.4840019066051007E-2</c:v>
                </c:pt>
                <c:pt idx="60">
                  <c:v>4.7203922655758589E-2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9D1-6444-BAF2-A18F71EF3071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Scenarios'!$AP$3:$AP$63</c:f>
              <c:numCache>
                <c:formatCode>0.0000%</c:formatCode>
                <c:ptCount val="61"/>
                <c:pt idx="0">
                  <c:v>0.04</c:v>
                </c:pt>
                <c:pt idx="1">
                  <c:v>3.7840930708480373E-2</c:v>
                </c:pt>
                <c:pt idx="2">
                  <c:v>3.5133306118954009E-2</c:v>
                </c:pt>
                <c:pt idx="3">
                  <c:v>3.3333939731361839E-2</c:v>
                </c:pt>
                <c:pt idx="4">
                  <c:v>3.2994862957083392E-2</c:v>
                </c:pt>
                <c:pt idx="5">
                  <c:v>3.7869620025282817E-2</c:v>
                </c:pt>
                <c:pt idx="6">
                  <c:v>3.9615351945883989E-2</c:v>
                </c:pt>
                <c:pt idx="7">
                  <c:v>3.6469566619862864E-2</c:v>
                </c:pt>
                <c:pt idx="8">
                  <c:v>3.8134646348343272E-2</c:v>
                </c:pt>
                <c:pt idx="9">
                  <c:v>4.0898641262331087E-2</c:v>
                </c:pt>
                <c:pt idx="10">
                  <c:v>4.0711983313690046E-2</c:v>
                </c:pt>
                <c:pt idx="11">
                  <c:v>4.2887964071846162E-2</c:v>
                </c:pt>
                <c:pt idx="12">
                  <c:v>4.5048864113358698E-2</c:v>
                </c:pt>
                <c:pt idx="13">
                  <c:v>4.9373372453600683E-2</c:v>
                </c:pt>
                <c:pt idx="14">
                  <c:v>4.607700164422298E-2</c:v>
                </c:pt>
                <c:pt idx="15">
                  <c:v>4.1232976814752381E-2</c:v>
                </c:pt>
                <c:pt idx="16">
                  <c:v>4.7276243261799342E-2</c:v>
                </c:pt>
                <c:pt idx="17">
                  <c:v>4.7621562487983202E-2</c:v>
                </c:pt>
                <c:pt idx="18">
                  <c:v>5.0307487610706914E-2</c:v>
                </c:pt>
                <c:pt idx="19">
                  <c:v>4.7936357975298376E-2</c:v>
                </c:pt>
                <c:pt idx="20">
                  <c:v>5.571343821592678E-2</c:v>
                </c:pt>
                <c:pt idx="21">
                  <c:v>5.309007184093003E-2</c:v>
                </c:pt>
                <c:pt idx="22">
                  <c:v>5.1202007952117407E-2</c:v>
                </c:pt>
                <c:pt idx="23">
                  <c:v>5.0022168299488995E-2</c:v>
                </c:pt>
                <c:pt idx="24">
                  <c:v>0</c:v>
                </c:pt>
                <c:pt idx="25">
                  <c:v>5.1015735422013805E-2</c:v>
                </c:pt>
                <c:pt idx="26">
                  <c:v>4.7510552490409072E-2</c:v>
                </c:pt>
                <c:pt idx="27">
                  <c:v>4.6770167732847812E-2</c:v>
                </c:pt>
                <c:pt idx="28">
                  <c:v>4.7163846626596277E-2</c:v>
                </c:pt>
                <c:pt idx="29">
                  <c:v>4.8088929035212828E-2</c:v>
                </c:pt>
                <c:pt idx="30">
                  <c:v>5.2636931501758008E-2</c:v>
                </c:pt>
                <c:pt idx="31">
                  <c:v>4.9306837715192522E-2</c:v>
                </c:pt>
                <c:pt idx="32">
                  <c:v>4.7012042184461054E-2</c:v>
                </c:pt>
                <c:pt idx="33">
                  <c:v>5.0821900196661184E-2</c:v>
                </c:pt>
                <c:pt idx="34">
                  <c:v>5.5162770406603633E-2</c:v>
                </c:pt>
                <c:pt idx="35">
                  <c:v>5.7002876758852752E-2</c:v>
                </c:pt>
                <c:pt idx="36">
                  <c:v>6.3491771899165592E-2</c:v>
                </c:pt>
                <c:pt idx="37">
                  <c:v>6.5461818438676975E-2</c:v>
                </c:pt>
                <c:pt idx="38">
                  <c:v>6.9765656087299996E-2</c:v>
                </c:pt>
                <c:pt idx="39">
                  <c:v>7.1761589780391571E-2</c:v>
                </c:pt>
                <c:pt idx="40">
                  <c:v>6.7179700155283795E-2</c:v>
                </c:pt>
                <c:pt idx="41">
                  <c:v>6.7343002005318717E-2</c:v>
                </c:pt>
                <c:pt idx="42">
                  <c:v>6.4856407225079668E-2</c:v>
                </c:pt>
                <c:pt idx="43">
                  <c:v>6.7101990030932882E-2</c:v>
                </c:pt>
                <c:pt idx="44">
                  <c:v>6.8236641266192E-2</c:v>
                </c:pt>
                <c:pt idx="45">
                  <c:v>6.7843211537601644E-2</c:v>
                </c:pt>
                <c:pt idx="46">
                  <c:v>6.3510954935191155E-2</c:v>
                </c:pt>
                <c:pt idx="47">
                  <c:v>5.4391800227835248E-2</c:v>
                </c:pt>
                <c:pt idx="48">
                  <c:v>6.0399592371248721E-2</c:v>
                </c:pt>
                <c:pt idx="49">
                  <c:v>5.8403269261569239E-2</c:v>
                </c:pt>
                <c:pt idx="50">
                  <c:v>6.2773004843882027E-2</c:v>
                </c:pt>
                <c:pt idx="51">
                  <c:v>5.702157137058253E-2</c:v>
                </c:pt>
                <c:pt idx="52">
                  <c:v>5.5253482068700448E-2</c:v>
                </c:pt>
                <c:pt idx="53">
                  <c:v>5.3473273971375176E-2</c:v>
                </c:pt>
                <c:pt idx="54">
                  <c:v>5.0080528887645671E-2</c:v>
                </c:pt>
                <c:pt idx="55">
                  <c:v>4.6177440718447316E-2</c:v>
                </c:pt>
                <c:pt idx="56">
                  <c:v>4.6219121885481336E-2</c:v>
                </c:pt>
                <c:pt idx="57">
                  <c:v>4.2699713826219544E-2</c:v>
                </c:pt>
                <c:pt idx="58">
                  <c:v>3.8626618703755056E-2</c:v>
                </c:pt>
                <c:pt idx="59">
                  <c:v>4.140653271660124E-2</c:v>
                </c:pt>
                <c:pt idx="60">
                  <c:v>4.155371217206396E-2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9D1-6444-BAF2-A18F71EF3071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Scenarios'!$AQ$3:$AQ$63</c:f>
              <c:numCache>
                <c:formatCode>0.0000%</c:formatCode>
                <c:ptCount val="61"/>
                <c:pt idx="0">
                  <c:v>0.04</c:v>
                </c:pt>
                <c:pt idx="1">
                  <c:v>4.7297461890122856E-2</c:v>
                </c:pt>
                <c:pt idx="2">
                  <c:v>4.4886678643768087E-2</c:v>
                </c:pt>
                <c:pt idx="3">
                  <c:v>4.4864572850924794E-2</c:v>
                </c:pt>
                <c:pt idx="4">
                  <c:v>5.2866500811376754E-2</c:v>
                </c:pt>
                <c:pt idx="5">
                  <c:v>4.8031076897881553E-2</c:v>
                </c:pt>
                <c:pt idx="6">
                  <c:v>5.1181036724024777E-2</c:v>
                </c:pt>
                <c:pt idx="7">
                  <c:v>4.5975855549178712E-2</c:v>
                </c:pt>
                <c:pt idx="8">
                  <c:v>5.082096744162188E-2</c:v>
                </c:pt>
                <c:pt idx="9">
                  <c:v>5.0609369201324444E-2</c:v>
                </c:pt>
                <c:pt idx="10">
                  <c:v>5.1744139870535923E-2</c:v>
                </c:pt>
                <c:pt idx="11">
                  <c:v>5.8315093908079325E-2</c:v>
                </c:pt>
                <c:pt idx="12">
                  <c:v>5.8319604688854623E-2</c:v>
                </c:pt>
                <c:pt idx="13">
                  <c:v>5.5306266083682554E-2</c:v>
                </c:pt>
                <c:pt idx="14">
                  <c:v>5.8455170284819155E-2</c:v>
                </c:pt>
                <c:pt idx="15">
                  <c:v>6.1573713069415351E-2</c:v>
                </c:pt>
                <c:pt idx="16">
                  <c:v>6.3221437669025382E-2</c:v>
                </c:pt>
                <c:pt idx="17">
                  <c:v>6.4087746648928356E-2</c:v>
                </c:pt>
                <c:pt idx="18">
                  <c:v>6.6137080030640574E-2</c:v>
                </c:pt>
                <c:pt idx="19">
                  <c:v>5.6320101568396466E-2</c:v>
                </c:pt>
                <c:pt idx="20">
                  <c:v>6.3909614770141121E-2</c:v>
                </c:pt>
                <c:pt idx="21">
                  <c:v>5.7152524939636011E-2</c:v>
                </c:pt>
                <c:pt idx="22">
                  <c:v>5.8859961172431856E-2</c:v>
                </c:pt>
                <c:pt idx="23">
                  <c:v>5.4819996493708591E-2</c:v>
                </c:pt>
                <c:pt idx="24">
                  <c:v>5.486005878552843E-2</c:v>
                </c:pt>
                <c:pt idx="25">
                  <c:v>5.3636741888775485E-2</c:v>
                </c:pt>
                <c:pt idx="26">
                  <c:v>5.3396991401082609E-2</c:v>
                </c:pt>
                <c:pt idx="27">
                  <c:v>5.6751298068856378E-2</c:v>
                </c:pt>
                <c:pt idx="28">
                  <c:v>5.5695899563410728E-2</c:v>
                </c:pt>
                <c:pt idx="29">
                  <c:v>5.7229506531078764E-2</c:v>
                </c:pt>
                <c:pt idx="30">
                  <c:v>5.2988747618142908E-2</c:v>
                </c:pt>
                <c:pt idx="31">
                  <c:v>4.9247649510881862E-2</c:v>
                </c:pt>
                <c:pt idx="32">
                  <c:v>5.406099054092163E-2</c:v>
                </c:pt>
                <c:pt idx="33">
                  <c:v>4.8585468601145501E-2</c:v>
                </c:pt>
                <c:pt idx="34">
                  <c:v>4.8186802489312716E-2</c:v>
                </c:pt>
                <c:pt idx="35">
                  <c:v>3.8492953910734796E-2</c:v>
                </c:pt>
                <c:pt idx="36">
                  <c:v>4.1716316108314944E-2</c:v>
                </c:pt>
                <c:pt idx="37">
                  <c:v>4.0292913739254643E-2</c:v>
                </c:pt>
                <c:pt idx="38">
                  <c:v>4.1538992242673621E-2</c:v>
                </c:pt>
                <c:pt idx="39">
                  <c:v>4.18209333902127E-2</c:v>
                </c:pt>
                <c:pt idx="40">
                  <c:v>3.545819900528157E-2</c:v>
                </c:pt>
                <c:pt idx="41">
                  <c:v>3.6933585751052336E-2</c:v>
                </c:pt>
                <c:pt idx="42">
                  <c:v>3.6675495736865897E-2</c:v>
                </c:pt>
                <c:pt idx="43">
                  <c:v>3.2530082328212154E-2</c:v>
                </c:pt>
                <c:pt idx="44">
                  <c:v>3.1735449091106177E-2</c:v>
                </c:pt>
                <c:pt idx="45">
                  <c:v>3.4462903140873288E-2</c:v>
                </c:pt>
                <c:pt idx="46">
                  <c:v>3.7495953744710951E-2</c:v>
                </c:pt>
                <c:pt idx="47">
                  <c:v>3.7502626025766331E-2</c:v>
                </c:pt>
                <c:pt idx="48">
                  <c:v>4.2095064089855E-2</c:v>
                </c:pt>
                <c:pt idx="49">
                  <c:v>3.9160026839583313E-2</c:v>
                </c:pt>
                <c:pt idx="50">
                  <c:v>3.9451616685611028E-2</c:v>
                </c:pt>
                <c:pt idx="51">
                  <c:v>3.0791780148054559E-2</c:v>
                </c:pt>
                <c:pt idx="52">
                  <c:v>2.7756144022204093E-2</c:v>
                </c:pt>
                <c:pt idx="53">
                  <c:v>2.8952488076532151E-2</c:v>
                </c:pt>
                <c:pt idx="54">
                  <c:v>2.475099840266869E-2</c:v>
                </c:pt>
                <c:pt idx="55">
                  <c:v>2.6045444164645448E-2</c:v>
                </c:pt>
                <c:pt idx="56">
                  <c:v>2.6534624829458026E-2</c:v>
                </c:pt>
                <c:pt idx="57">
                  <c:v>2.3672116514622046E-2</c:v>
                </c:pt>
                <c:pt idx="58">
                  <c:v>2.2265481681455802E-2</c:v>
                </c:pt>
                <c:pt idx="59">
                  <c:v>2.1316847469703654E-2</c:v>
                </c:pt>
                <c:pt idx="60">
                  <c:v>1.9745145103072521E-2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9D1-6444-BAF2-A18F71EF3071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Scenarios'!$AR$3:$AR$63</c:f>
              <c:numCache>
                <c:formatCode>0.0000%</c:formatCode>
                <c:ptCount val="61"/>
                <c:pt idx="0">
                  <c:v>0.04</c:v>
                </c:pt>
                <c:pt idx="1">
                  <c:v>3.9643457853334063E-2</c:v>
                </c:pt>
                <c:pt idx="2">
                  <c:v>3.5473410635746064E-2</c:v>
                </c:pt>
                <c:pt idx="3">
                  <c:v>3.6799685367225644E-2</c:v>
                </c:pt>
                <c:pt idx="4">
                  <c:v>4.4003435578245167E-2</c:v>
                </c:pt>
                <c:pt idx="5">
                  <c:v>3.7645660157989494E-2</c:v>
                </c:pt>
                <c:pt idx="6">
                  <c:v>3.6854322342705061E-2</c:v>
                </c:pt>
                <c:pt idx="7">
                  <c:v>4.0862611501512824E-2</c:v>
                </c:pt>
                <c:pt idx="8">
                  <c:v>4.2927649220118387E-2</c:v>
                </c:pt>
                <c:pt idx="9">
                  <c:v>4.2633287438504551E-2</c:v>
                </c:pt>
                <c:pt idx="10">
                  <c:v>4.8534559966314242E-2</c:v>
                </c:pt>
                <c:pt idx="11">
                  <c:v>4.3850702478208069E-2</c:v>
                </c:pt>
                <c:pt idx="12">
                  <c:v>4.2512858611428929E-2</c:v>
                </c:pt>
                <c:pt idx="13">
                  <c:v>5.067462880327285E-2</c:v>
                </c:pt>
                <c:pt idx="14">
                  <c:v>5.2712535665712629E-2</c:v>
                </c:pt>
                <c:pt idx="15">
                  <c:v>5.3560668048434838E-2</c:v>
                </c:pt>
                <c:pt idx="16">
                  <c:v>5.3747409565532554E-2</c:v>
                </c:pt>
                <c:pt idx="17">
                  <c:v>5.155954684500396E-2</c:v>
                </c:pt>
                <c:pt idx="18">
                  <c:v>4.5556244014831965E-2</c:v>
                </c:pt>
                <c:pt idx="19">
                  <c:v>4.9628190048362122E-2</c:v>
                </c:pt>
                <c:pt idx="20">
                  <c:v>5.3371620906650916E-2</c:v>
                </c:pt>
                <c:pt idx="21">
                  <c:v>4.8248361647904997E-2</c:v>
                </c:pt>
                <c:pt idx="22">
                  <c:v>5.0271029711624275E-2</c:v>
                </c:pt>
                <c:pt idx="23">
                  <c:v>4.9062917503781493E-2</c:v>
                </c:pt>
                <c:pt idx="24">
                  <c:v>4.7320293232841946E-2</c:v>
                </c:pt>
                <c:pt idx="25">
                  <c:v>3.8172959254239761E-2</c:v>
                </c:pt>
                <c:pt idx="26">
                  <c:v>4.0531923402196988E-2</c:v>
                </c:pt>
                <c:pt idx="27">
                  <c:v>4.0501245800411832E-2</c:v>
                </c:pt>
                <c:pt idx="28">
                  <c:v>4.62330560902861E-2</c:v>
                </c:pt>
                <c:pt idx="29">
                  <c:v>4.3482800350822109E-2</c:v>
                </c:pt>
                <c:pt idx="30">
                  <c:v>4.2981524446452701E-2</c:v>
                </c:pt>
                <c:pt idx="31">
                  <c:v>4.2611890958456175E-2</c:v>
                </c:pt>
                <c:pt idx="32">
                  <c:v>4.3313180908917871E-2</c:v>
                </c:pt>
                <c:pt idx="33">
                  <c:v>4.6762795118280513E-2</c:v>
                </c:pt>
                <c:pt idx="34">
                  <c:v>4.3438316247222497E-2</c:v>
                </c:pt>
                <c:pt idx="35">
                  <c:v>4.5287277932588126E-2</c:v>
                </c:pt>
                <c:pt idx="36">
                  <c:v>5.0389878622219331E-2</c:v>
                </c:pt>
                <c:pt idx="37">
                  <c:v>4.778268087282618E-2</c:v>
                </c:pt>
                <c:pt idx="38">
                  <c:v>4.6063834418802165E-2</c:v>
                </c:pt>
                <c:pt idx="39">
                  <c:v>4.2272016923071781E-2</c:v>
                </c:pt>
                <c:pt idx="40">
                  <c:v>5.0174329152204551E-2</c:v>
                </c:pt>
                <c:pt idx="41">
                  <c:v>4.9276995241122633E-2</c:v>
                </c:pt>
                <c:pt idx="42">
                  <c:v>4.6992287464708737E-2</c:v>
                </c:pt>
                <c:pt idx="43">
                  <c:v>4.3171964442471969E-2</c:v>
                </c:pt>
                <c:pt idx="44">
                  <c:v>3.9871157500454987E-2</c:v>
                </c:pt>
                <c:pt idx="45">
                  <c:v>3.9774824417842011E-2</c:v>
                </c:pt>
                <c:pt idx="46">
                  <c:v>4.2638541303985845E-2</c:v>
                </c:pt>
                <c:pt idx="47">
                  <c:v>4.839517983494062E-2</c:v>
                </c:pt>
                <c:pt idx="48">
                  <c:v>5.1127527298804966E-2</c:v>
                </c:pt>
                <c:pt idx="49">
                  <c:v>5.6027247003853899E-2</c:v>
                </c:pt>
                <c:pt idx="50">
                  <c:v>6.3949124940030161E-2</c:v>
                </c:pt>
                <c:pt idx="51">
                  <c:v>6.2900108377765787E-2</c:v>
                </c:pt>
                <c:pt idx="52">
                  <c:v>6.1997968869764643E-2</c:v>
                </c:pt>
                <c:pt idx="53">
                  <c:v>6.2170289195491404E-2</c:v>
                </c:pt>
                <c:pt idx="54">
                  <c:v>6.6688574612144239E-2</c:v>
                </c:pt>
                <c:pt idx="55">
                  <c:v>7.4069532404984317E-2</c:v>
                </c:pt>
                <c:pt idx="56">
                  <c:v>7.5734994171945499E-2</c:v>
                </c:pt>
                <c:pt idx="57">
                  <c:v>7.3309126454701778E-2</c:v>
                </c:pt>
                <c:pt idx="58">
                  <c:v>7.5045397910150219E-2</c:v>
                </c:pt>
                <c:pt idx="59">
                  <c:v>7.252321987422955E-2</c:v>
                </c:pt>
                <c:pt idx="60">
                  <c:v>7.5533951018129888E-2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9D1-6444-BAF2-A18F71EF3071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Scenarios'!$AS$3:$AS$63</c:f>
              <c:numCache>
                <c:formatCode>0.0000%</c:formatCode>
                <c:ptCount val="61"/>
                <c:pt idx="0">
                  <c:v>0.04</c:v>
                </c:pt>
                <c:pt idx="1">
                  <c:v>4.1682756060852366E-2</c:v>
                </c:pt>
                <c:pt idx="2">
                  <c:v>4.1922940696930852E-2</c:v>
                </c:pt>
                <c:pt idx="3">
                  <c:v>4.3587263753497578E-2</c:v>
                </c:pt>
                <c:pt idx="4">
                  <c:v>4.6156809983223218E-2</c:v>
                </c:pt>
                <c:pt idx="5">
                  <c:v>4.140340128384834E-2</c:v>
                </c:pt>
                <c:pt idx="6">
                  <c:v>4.3374640930470824E-2</c:v>
                </c:pt>
                <c:pt idx="7">
                  <c:v>4.3547109816176439E-2</c:v>
                </c:pt>
                <c:pt idx="8">
                  <c:v>4.3018612746527955E-2</c:v>
                </c:pt>
                <c:pt idx="9">
                  <c:v>3.9858896128988547E-2</c:v>
                </c:pt>
                <c:pt idx="10">
                  <c:v>4.1636564253936491E-2</c:v>
                </c:pt>
                <c:pt idx="11">
                  <c:v>4.0137810420614158E-2</c:v>
                </c:pt>
                <c:pt idx="12">
                  <c:v>4.0367336296399214E-2</c:v>
                </c:pt>
                <c:pt idx="13">
                  <c:v>4.2141960732528218E-2</c:v>
                </c:pt>
                <c:pt idx="14">
                  <c:v>4.0337580459650239E-2</c:v>
                </c:pt>
                <c:pt idx="15">
                  <c:v>3.8014862773814627E-2</c:v>
                </c:pt>
                <c:pt idx="16">
                  <c:v>3.8676877946875542E-2</c:v>
                </c:pt>
                <c:pt idx="17">
                  <c:v>3.7204647259475226E-2</c:v>
                </c:pt>
                <c:pt idx="18">
                  <c:v>3.9427158885500198E-2</c:v>
                </c:pt>
                <c:pt idx="19">
                  <c:v>3.8883701278017255E-2</c:v>
                </c:pt>
                <c:pt idx="20">
                  <c:v>4.2351984301401489E-2</c:v>
                </c:pt>
                <c:pt idx="21">
                  <c:v>4.4525283054894595E-2</c:v>
                </c:pt>
                <c:pt idx="22">
                  <c:v>4.2250120583470406E-2</c:v>
                </c:pt>
                <c:pt idx="23">
                  <c:v>4.1898814426759003E-2</c:v>
                </c:pt>
                <c:pt idx="24">
                  <c:v>3.5454947538206806E-2</c:v>
                </c:pt>
                <c:pt idx="25">
                  <c:v>2.838209398322486E-2</c:v>
                </c:pt>
                <c:pt idx="26">
                  <c:v>2.9980954945789558E-2</c:v>
                </c:pt>
                <c:pt idx="27">
                  <c:v>2.7734373910205314E-2</c:v>
                </c:pt>
                <c:pt idx="28">
                  <c:v>2.6164693658416491E-2</c:v>
                </c:pt>
                <c:pt idx="29">
                  <c:v>2.3218426902186777E-2</c:v>
                </c:pt>
                <c:pt idx="30">
                  <c:v>1.9083280559087725E-2</c:v>
                </c:pt>
                <c:pt idx="31">
                  <c:v>1.709797113010203E-2</c:v>
                </c:pt>
                <c:pt idx="32">
                  <c:v>1.6891712213762629E-2</c:v>
                </c:pt>
                <c:pt idx="33">
                  <c:v>2.0516958596490359E-2</c:v>
                </c:pt>
                <c:pt idx="34">
                  <c:v>2.0167322186148303E-2</c:v>
                </c:pt>
                <c:pt idx="35">
                  <c:v>2.0675965861853395E-2</c:v>
                </c:pt>
                <c:pt idx="36">
                  <c:v>1.7475986799663005E-2</c:v>
                </c:pt>
                <c:pt idx="37">
                  <c:v>1.8069809964065708E-2</c:v>
                </c:pt>
                <c:pt idx="38">
                  <c:v>2.179655325894481E-2</c:v>
                </c:pt>
                <c:pt idx="39">
                  <c:v>2.6284998339748768E-2</c:v>
                </c:pt>
                <c:pt idx="40">
                  <c:v>2.769154080283432E-2</c:v>
                </c:pt>
                <c:pt idx="41">
                  <c:v>2.5708021886331686E-2</c:v>
                </c:pt>
                <c:pt idx="42">
                  <c:v>2.660888597813129E-2</c:v>
                </c:pt>
                <c:pt idx="43">
                  <c:v>2.8137765945897078E-2</c:v>
                </c:pt>
                <c:pt idx="44">
                  <c:v>2.7934010650936338E-2</c:v>
                </c:pt>
                <c:pt idx="45">
                  <c:v>3.0884945204483403E-2</c:v>
                </c:pt>
                <c:pt idx="46">
                  <c:v>3.2207281532894948E-2</c:v>
                </c:pt>
                <c:pt idx="47">
                  <c:v>3.2475625336250452E-2</c:v>
                </c:pt>
                <c:pt idx="48">
                  <c:v>3.1059592552641326E-2</c:v>
                </c:pt>
                <c:pt idx="49">
                  <c:v>3.034724295547505E-2</c:v>
                </c:pt>
                <c:pt idx="50">
                  <c:v>3.0160831950382112E-2</c:v>
                </c:pt>
                <c:pt idx="51">
                  <c:v>3.083672736338464E-2</c:v>
                </c:pt>
                <c:pt idx="52">
                  <c:v>2.9824552494494345E-2</c:v>
                </c:pt>
                <c:pt idx="53">
                  <c:v>2.7401340455505557E-2</c:v>
                </c:pt>
                <c:pt idx="54">
                  <c:v>3.0743292942177518E-2</c:v>
                </c:pt>
                <c:pt idx="55">
                  <c:v>3.1979065268450686E-2</c:v>
                </c:pt>
                <c:pt idx="56">
                  <c:v>2.8753310449445704E-2</c:v>
                </c:pt>
                <c:pt idx="57">
                  <c:v>2.8628322413607896E-2</c:v>
                </c:pt>
                <c:pt idx="58">
                  <c:v>2.6314451185787232E-2</c:v>
                </c:pt>
                <c:pt idx="59">
                  <c:v>2.9731985520082115E-2</c:v>
                </c:pt>
                <c:pt idx="60">
                  <c:v>2.6921909346396121E-2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9D1-6444-BAF2-A18F71EF3071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Scenarios'!$AT$3:$AT$63</c:f>
              <c:numCache>
                <c:formatCode>0.0000%</c:formatCode>
                <c:ptCount val="61"/>
                <c:pt idx="0">
                  <c:v>0.04</c:v>
                </c:pt>
                <c:pt idx="1">
                  <c:v>3.7048897080274798E-2</c:v>
                </c:pt>
                <c:pt idx="2">
                  <c:v>3.3841125429572468E-2</c:v>
                </c:pt>
                <c:pt idx="3">
                  <c:v>3.6485890946976615E-2</c:v>
                </c:pt>
                <c:pt idx="4">
                  <c:v>3.7733613143295111E-2</c:v>
                </c:pt>
                <c:pt idx="5">
                  <c:v>4.0341120771065178E-2</c:v>
                </c:pt>
                <c:pt idx="6">
                  <c:v>3.421132273085227E-2</c:v>
                </c:pt>
                <c:pt idx="7">
                  <c:v>3.4565115173565211E-2</c:v>
                </c:pt>
                <c:pt idx="8">
                  <c:v>3.4884652931246277E-2</c:v>
                </c:pt>
                <c:pt idx="9">
                  <c:v>3.9430512925342207E-2</c:v>
                </c:pt>
                <c:pt idx="10">
                  <c:v>3.4763934178019901E-2</c:v>
                </c:pt>
                <c:pt idx="11">
                  <c:v>3.1768232586746291E-2</c:v>
                </c:pt>
                <c:pt idx="12">
                  <c:v>3.4745296146246114E-2</c:v>
                </c:pt>
                <c:pt idx="13">
                  <c:v>2.978201746948728E-2</c:v>
                </c:pt>
                <c:pt idx="14">
                  <c:v>2.9777722091212155E-2</c:v>
                </c:pt>
                <c:pt idx="15">
                  <c:v>2.8517420045338963E-2</c:v>
                </c:pt>
                <c:pt idx="16">
                  <c:v>3.3343643289654418E-2</c:v>
                </c:pt>
                <c:pt idx="17">
                  <c:v>2.7101488098635454E-2</c:v>
                </c:pt>
                <c:pt idx="18">
                  <c:v>2.995486159137789E-2</c:v>
                </c:pt>
                <c:pt idx="19">
                  <c:v>2.9831340388604188E-2</c:v>
                </c:pt>
                <c:pt idx="20">
                  <c:v>3.42588159266351E-2</c:v>
                </c:pt>
                <c:pt idx="21">
                  <c:v>3.3095746299157326E-2</c:v>
                </c:pt>
                <c:pt idx="22">
                  <c:v>3.5406829369902332E-2</c:v>
                </c:pt>
                <c:pt idx="23">
                  <c:v>4.2675141901311484E-2</c:v>
                </c:pt>
                <c:pt idx="24">
                  <c:v>3.8205123209073433E-2</c:v>
                </c:pt>
                <c:pt idx="25">
                  <c:v>3.8522041333924811E-2</c:v>
                </c:pt>
                <c:pt idx="26">
                  <c:v>3.9810798238086573E-2</c:v>
                </c:pt>
                <c:pt idx="27">
                  <c:v>4.1736501673176787E-2</c:v>
                </c:pt>
                <c:pt idx="28">
                  <c:v>3.991798239210604E-2</c:v>
                </c:pt>
                <c:pt idx="29">
                  <c:v>4.0485848390049747E-2</c:v>
                </c:pt>
                <c:pt idx="30">
                  <c:v>4.3138712334940744E-2</c:v>
                </c:pt>
                <c:pt idx="31">
                  <c:v>4.5023045208190934E-2</c:v>
                </c:pt>
                <c:pt idx="32">
                  <c:v>4.8256630672584282E-2</c:v>
                </c:pt>
                <c:pt idx="33">
                  <c:v>4.8820004444383287E-2</c:v>
                </c:pt>
                <c:pt idx="34">
                  <c:v>4.6201713644845252E-2</c:v>
                </c:pt>
                <c:pt idx="35">
                  <c:v>4.7452633703842909E-2</c:v>
                </c:pt>
                <c:pt idx="36">
                  <c:v>4.5577822471594594E-2</c:v>
                </c:pt>
                <c:pt idx="37">
                  <c:v>3.9746572456843626E-2</c:v>
                </c:pt>
                <c:pt idx="38">
                  <c:v>3.937522137877833E-2</c:v>
                </c:pt>
                <c:pt idx="39">
                  <c:v>3.6503063905946764E-2</c:v>
                </c:pt>
                <c:pt idx="40">
                  <c:v>3.8031778301648153E-2</c:v>
                </c:pt>
                <c:pt idx="41">
                  <c:v>3.7210746803342222E-2</c:v>
                </c:pt>
                <c:pt idx="42">
                  <c:v>3.9211038345993827E-2</c:v>
                </c:pt>
                <c:pt idx="43">
                  <c:v>3.8202143291829568E-2</c:v>
                </c:pt>
                <c:pt idx="44">
                  <c:v>4.3237348802029368E-2</c:v>
                </c:pt>
                <c:pt idx="45">
                  <c:v>4.4275256830717043E-2</c:v>
                </c:pt>
                <c:pt idx="46">
                  <c:v>4.9724964386556034E-2</c:v>
                </c:pt>
                <c:pt idx="47">
                  <c:v>5.5361616886038335E-2</c:v>
                </c:pt>
                <c:pt idx="48">
                  <c:v>5.2039774904650567E-2</c:v>
                </c:pt>
                <c:pt idx="49">
                  <c:v>4.9016929297203478E-2</c:v>
                </c:pt>
                <c:pt idx="50">
                  <c:v>5.1505282106415209E-2</c:v>
                </c:pt>
                <c:pt idx="51">
                  <c:v>4.7268172195517752E-2</c:v>
                </c:pt>
                <c:pt idx="52">
                  <c:v>4.2279300922080813E-2</c:v>
                </c:pt>
                <c:pt idx="53">
                  <c:v>4.0768106009047712E-2</c:v>
                </c:pt>
                <c:pt idx="54">
                  <c:v>3.4970688838353442E-2</c:v>
                </c:pt>
                <c:pt idx="55">
                  <c:v>3.7477276025710334E-2</c:v>
                </c:pt>
                <c:pt idx="56">
                  <c:v>3.8531376168902495E-2</c:v>
                </c:pt>
                <c:pt idx="57">
                  <c:v>3.5485398031152776E-2</c:v>
                </c:pt>
                <c:pt idx="58">
                  <c:v>3.1806137140824725E-2</c:v>
                </c:pt>
                <c:pt idx="59">
                  <c:v>3.1198866566490374E-2</c:v>
                </c:pt>
                <c:pt idx="60">
                  <c:v>3.1177091788241861E-2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9D1-6444-BAF2-A18F71EF3071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Scenarios'!$AU$3:$AU$63</c:f>
              <c:numCache>
                <c:formatCode>0.0000%</c:formatCode>
                <c:ptCount val="61"/>
                <c:pt idx="0">
                  <c:v>0.04</c:v>
                </c:pt>
                <c:pt idx="1">
                  <c:v>3.6869705284010006E-2</c:v>
                </c:pt>
                <c:pt idx="2">
                  <c:v>4.0612314520267118E-2</c:v>
                </c:pt>
                <c:pt idx="3">
                  <c:v>3.9987701103696094E-2</c:v>
                </c:pt>
                <c:pt idx="4">
                  <c:v>3.2418341485787469E-2</c:v>
                </c:pt>
                <c:pt idx="5">
                  <c:v>3.362642574165893E-2</c:v>
                </c:pt>
                <c:pt idx="6">
                  <c:v>3.218325168134361E-2</c:v>
                </c:pt>
                <c:pt idx="7">
                  <c:v>2.9571457131184201E-2</c:v>
                </c:pt>
                <c:pt idx="8">
                  <c:v>3.12638179421377E-2</c:v>
                </c:pt>
                <c:pt idx="9">
                  <c:v>2.4999141942652056E-2</c:v>
                </c:pt>
                <c:pt idx="10">
                  <c:v>2.4733289777869451E-2</c:v>
                </c:pt>
                <c:pt idx="11">
                  <c:v>2.2517020871304166E-2</c:v>
                </c:pt>
                <c:pt idx="12">
                  <c:v>2.0030126669518776E-2</c:v>
                </c:pt>
                <c:pt idx="13">
                  <c:v>2.2868534767702699E-2</c:v>
                </c:pt>
                <c:pt idx="14">
                  <c:v>2.0601274406799069E-2</c:v>
                </c:pt>
                <c:pt idx="15">
                  <c:v>1.9138156615401861E-2</c:v>
                </c:pt>
                <c:pt idx="16">
                  <c:v>1.5858398377745435E-2</c:v>
                </c:pt>
                <c:pt idx="17">
                  <c:v>1.7645975610301224E-2</c:v>
                </c:pt>
                <c:pt idx="18">
                  <c:v>1.9450812141437727E-2</c:v>
                </c:pt>
                <c:pt idx="19">
                  <c:v>1.700167964825966E-2</c:v>
                </c:pt>
                <c:pt idx="20">
                  <c:v>1.5330661989623894E-2</c:v>
                </c:pt>
                <c:pt idx="21">
                  <c:v>1.8456008855106135E-2</c:v>
                </c:pt>
                <c:pt idx="22">
                  <c:v>1.7096666679301594E-2</c:v>
                </c:pt>
                <c:pt idx="23">
                  <c:v>1.8787240985988853E-2</c:v>
                </c:pt>
                <c:pt idx="24">
                  <c:v>1.6639148072365138E-2</c:v>
                </c:pt>
                <c:pt idx="25">
                  <c:v>1.7064094532658662E-2</c:v>
                </c:pt>
                <c:pt idx="26">
                  <c:v>1.7241455837740387E-2</c:v>
                </c:pt>
                <c:pt idx="27">
                  <c:v>1.7298204955425198E-2</c:v>
                </c:pt>
                <c:pt idx="28">
                  <c:v>2.0294954399566512E-2</c:v>
                </c:pt>
                <c:pt idx="29">
                  <c:v>2.0478494441841688E-2</c:v>
                </c:pt>
                <c:pt idx="30">
                  <c:v>2.1358301394693656E-2</c:v>
                </c:pt>
                <c:pt idx="31">
                  <c:v>1.7821388832453995E-2</c:v>
                </c:pt>
                <c:pt idx="32">
                  <c:v>2.0042057854238494E-2</c:v>
                </c:pt>
                <c:pt idx="33">
                  <c:v>2.0166631727364839E-2</c:v>
                </c:pt>
                <c:pt idx="34">
                  <c:v>1.602314872345894E-2</c:v>
                </c:pt>
                <c:pt idx="35">
                  <c:v>1.6124989552519443E-2</c:v>
                </c:pt>
                <c:pt idx="36">
                  <c:v>1.7466790698067551E-2</c:v>
                </c:pt>
                <c:pt idx="37">
                  <c:v>2.1501424677247621E-2</c:v>
                </c:pt>
                <c:pt idx="38">
                  <c:v>2.4315002487006028E-2</c:v>
                </c:pt>
                <c:pt idx="39">
                  <c:v>2.2994041360887278E-2</c:v>
                </c:pt>
                <c:pt idx="40">
                  <c:v>2.2672044655574458E-2</c:v>
                </c:pt>
                <c:pt idx="41">
                  <c:v>2.1422696896314153E-2</c:v>
                </c:pt>
                <c:pt idx="42">
                  <c:v>2.4090726492252277E-2</c:v>
                </c:pt>
                <c:pt idx="43">
                  <c:v>2.4911888990196501E-2</c:v>
                </c:pt>
                <c:pt idx="44">
                  <c:v>2.6144797468354495E-2</c:v>
                </c:pt>
                <c:pt idx="45">
                  <c:v>2.1546400726744772E-2</c:v>
                </c:pt>
                <c:pt idx="46">
                  <c:v>2.2659254556401272E-2</c:v>
                </c:pt>
                <c:pt idx="47">
                  <c:v>2.7327683349049323E-2</c:v>
                </c:pt>
                <c:pt idx="48">
                  <c:v>2.5884844701290575E-2</c:v>
                </c:pt>
                <c:pt idx="49">
                  <c:v>2.7792613800032992E-2</c:v>
                </c:pt>
                <c:pt idx="50">
                  <c:v>3.1099148383933507E-2</c:v>
                </c:pt>
                <c:pt idx="51">
                  <c:v>3.3864802710520253E-2</c:v>
                </c:pt>
                <c:pt idx="52">
                  <c:v>3.7112714815701539E-2</c:v>
                </c:pt>
                <c:pt idx="53">
                  <c:v>4.0982872105236802E-2</c:v>
                </c:pt>
                <c:pt idx="54">
                  <c:v>3.4962749021055187E-2</c:v>
                </c:pt>
                <c:pt idx="55">
                  <c:v>2.5046993483253052E-2</c:v>
                </c:pt>
                <c:pt idx="56">
                  <c:v>2.7985665176734686E-2</c:v>
                </c:pt>
                <c:pt idx="57">
                  <c:v>2.752751225209896E-2</c:v>
                </c:pt>
                <c:pt idx="58">
                  <c:v>2.8569006040110541E-2</c:v>
                </c:pt>
                <c:pt idx="59">
                  <c:v>3.0247803549977009E-2</c:v>
                </c:pt>
                <c:pt idx="60">
                  <c:v>3.3680205330163956E-2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9D1-6444-BAF2-A18F71EF3071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Scenarios'!$AV$3:$AV$63</c:f>
              <c:numCache>
                <c:formatCode>0.0000%</c:formatCode>
                <c:ptCount val="61"/>
                <c:pt idx="0">
                  <c:v>0.04</c:v>
                </c:pt>
                <c:pt idx="1">
                  <c:v>4.1845999611875469E-2</c:v>
                </c:pt>
                <c:pt idx="2">
                  <c:v>4.2449923469924433E-2</c:v>
                </c:pt>
                <c:pt idx="3">
                  <c:v>3.845414784970224E-2</c:v>
                </c:pt>
                <c:pt idx="4">
                  <c:v>4.0640112015038803E-2</c:v>
                </c:pt>
                <c:pt idx="5">
                  <c:v>4.1562470873785173E-2</c:v>
                </c:pt>
                <c:pt idx="6">
                  <c:v>4.2885493267188587E-2</c:v>
                </c:pt>
                <c:pt idx="7">
                  <c:v>4.5313062966254244E-2</c:v>
                </c:pt>
                <c:pt idx="8">
                  <c:v>5.0099390061328519E-2</c:v>
                </c:pt>
                <c:pt idx="9">
                  <c:v>4.6046290879775811E-2</c:v>
                </c:pt>
                <c:pt idx="10">
                  <c:v>4.9343033150336779E-2</c:v>
                </c:pt>
                <c:pt idx="11">
                  <c:v>5.0745846148872231E-2</c:v>
                </c:pt>
                <c:pt idx="12">
                  <c:v>5.1110664723777101E-2</c:v>
                </c:pt>
                <c:pt idx="13">
                  <c:v>5.3231059797074577E-2</c:v>
                </c:pt>
                <c:pt idx="14">
                  <c:v>5.2319731367197905E-2</c:v>
                </c:pt>
                <c:pt idx="15">
                  <c:v>4.901647316248002E-2</c:v>
                </c:pt>
                <c:pt idx="16">
                  <c:v>4.9195974296926993E-2</c:v>
                </c:pt>
                <c:pt idx="17">
                  <c:v>4.8970736569510592E-2</c:v>
                </c:pt>
                <c:pt idx="18">
                  <c:v>4.926482582342271E-2</c:v>
                </c:pt>
                <c:pt idx="19">
                  <c:v>4.9200175598028632E-2</c:v>
                </c:pt>
                <c:pt idx="20">
                  <c:v>4.5649664426502236E-2</c:v>
                </c:pt>
                <c:pt idx="21">
                  <c:v>4.2307161067628295E-2</c:v>
                </c:pt>
                <c:pt idx="22">
                  <c:v>3.8965311955982712E-2</c:v>
                </c:pt>
                <c:pt idx="23">
                  <c:v>3.6253790393558014E-2</c:v>
                </c:pt>
                <c:pt idx="24">
                  <c:v>3.4514460156371565E-2</c:v>
                </c:pt>
                <c:pt idx="25">
                  <c:v>3.2717224319300652E-2</c:v>
                </c:pt>
                <c:pt idx="26">
                  <c:v>3.2847951398684058E-2</c:v>
                </c:pt>
                <c:pt idx="27">
                  <c:v>2.4609435106018679E-2</c:v>
                </c:pt>
                <c:pt idx="28">
                  <c:v>2.2795717470385571E-2</c:v>
                </c:pt>
                <c:pt idx="29">
                  <c:v>2.5278932180395119E-2</c:v>
                </c:pt>
                <c:pt idx="30">
                  <c:v>2.2754138225146853E-2</c:v>
                </c:pt>
                <c:pt idx="31">
                  <c:v>2.2780846093043625E-2</c:v>
                </c:pt>
                <c:pt idx="32">
                  <c:v>2.7085973883072285E-2</c:v>
                </c:pt>
                <c:pt idx="33">
                  <c:v>2.9246982182091579E-2</c:v>
                </c:pt>
                <c:pt idx="34">
                  <c:v>3.2516979192007904E-2</c:v>
                </c:pt>
                <c:pt idx="35">
                  <c:v>2.8608583127786125E-2</c:v>
                </c:pt>
                <c:pt idx="36">
                  <c:v>2.6316012131666233E-2</c:v>
                </c:pt>
                <c:pt idx="37">
                  <c:v>2.643852679897539E-2</c:v>
                </c:pt>
                <c:pt idx="38">
                  <c:v>2.2741001594371653E-2</c:v>
                </c:pt>
                <c:pt idx="39">
                  <c:v>2.3237052275273343E-2</c:v>
                </c:pt>
                <c:pt idx="40">
                  <c:v>2.4594668005572987E-2</c:v>
                </c:pt>
                <c:pt idx="41">
                  <c:v>2.4994701775840147E-2</c:v>
                </c:pt>
                <c:pt idx="42">
                  <c:v>2.7725763494954453E-2</c:v>
                </c:pt>
                <c:pt idx="43">
                  <c:v>2.4619383104557455E-2</c:v>
                </c:pt>
                <c:pt idx="44">
                  <c:v>2.1561156397083881E-2</c:v>
                </c:pt>
                <c:pt idx="45">
                  <c:v>2.0613704312301306E-2</c:v>
                </c:pt>
                <c:pt idx="46">
                  <c:v>1.9068677306528108E-2</c:v>
                </c:pt>
                <c:pt idx="47">
                  <c:v>2.1026578909585498E-2</c:v>
                </c:pt>
                <c:pt idx="48">
                  <c:v>1.7443152722868338E-2</c:v>
                </c:pt>
                <c:pt idx="49">
                  <c:v>1.9376889639683838E-2</c:v>
                </c:pt>
                <c:pt idx="50">
                  <c:v>2.1379285346403661E-2</c:v>
                </c:pt>
                <c:pt idx="51">
                  <c:v>2.2729846515234669E-2</c:v>
                </c:pt>
                <c:pt idx="52">
                  <c:v>2.2633578207954745E-2</c:v>
                </c:pt>
                <c:pt idx="53">
                  <c:v>2.1052404650848962E-2</c:v>
                </c:pt>
                <c:pt idx="54">
                  <c:v>2.0920624556396358E-2</c:v>
                </c:pt>
                <c:pt idx="55">
                  <c:v>1.9019752949241648E-2</c:v>
                </c:pt>
                <c:pt idx="56">
                  <c:v>1.5098681311844053E-2</c:v>
                </c:pt>
                <c:pt idx="57">
                  <c:v>1.1145933635256428E-2</c:v>
                </c:pt>
                <c:pt idx="58">
                  <c:v>1.0808405526168121E-2</c:v>
                </c:pt>
                <c:pt idx="59">
                  <c:v>9.8376574395643498E-3</c:v>
                </c:pt>
                <c:pt idx="60">
                  <c:v>7.519555746257834E-3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9D1-6444-BAF2-A18F71EF3071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Scenarios'!$AW$3:$AW$63</c:f>
              <c:numCache>
                <c:formatCode>0.0000%</c:formatCode>
                <c:ptCount val="61"/>
                <c:pt idx="0">
                  <c:v>0.04</c:v>
                </c:pt>
                <c:pt idx="1">
                  <c:v>4.3625298180572918E-2</c:v>
                </c:pt>
                <c:pt idx="2">
                  <c:v>3.9038292255896383E-2</c:v>
                </c:pt>
                <c:pt idx="3">
                  <c:v>3.7917940701025207E-2</c:v>
                </c:pt>
                <c:pt idx="4">
                  <c:v>3.2483430506930699E-2</c:v>
                </c:pt>
                <c:pt idx="5">
                  <c:v>3.0628586082754275E-2</c:v>
                </c:pt>
                <c:pt idx="6">
                  <c:v>3.3163226016531287E-2</c:v>
                </c:pt>
                <c:pt idx="7">
                  <c:v>3.3024717712422429E-2</c:v>
                </c:pt>
                <c:pt idx="8">
                  <c:v>3.7286900197488961E-2</c:v>
                </c:pt>
                <c:pt idx="9">
                  <c:v>3.8524928331660803E-2</c:v>
                </c:pt>
                <c:pt idx="10">
                  <c:v>3.8426380754977285E-2</c:v>
                </c:pt>
                <c:pt idx="11">
                  <c:v>3.5176925470664804E-2</c:v>
                </c:pt>
                <c:pt idx="12">
                  <c:v>3.4856000734140781E-2</c:v>
                </c:pt>
                <c:pt idx="13">
                  <c:v>3.7606409171110862E-2</c:v>
                </c:pt>
                <c:pt idx="14">
                  <c:v>3.6413047773481734E-2</c:v>
                </c:pt>
                <c:pt idx="15">
                  <c:v>3.3666985505667081E-2</c:v>
                </c:pt>
                <c:pt idx="16">
                  <c:v>3.098467690976844E-2</c:v>
                </c:pt>
                <c:pt idx="17">
                  <c:v>2.5815078642228304E-2</c:v>
                </c:pt>
                <c:pt idx="18">
                  <c:v>3.0155366322667673E-2</c:v>
                </c:pt>
                <c:pt idx="19">
                  <c:v>3.3115124600228474E-2</c:v>
                </c:pt>
                <c:pt idx="20">
                  <c:v>3.1226970385148749E-2</c:v>
                </c:pt>
                <c:pt idx="21">
                  <c:v>2.4820755568693086E-2</c:v>
                </c:pt>
                <c:pt idx="22">
                  <c:v>2.5254866588776036E-2</c:v>
                </c:pt>
                <c:pt idx="23">
                  <c:v>2.6063570799681079E-2</c:v>
                </c:pt>
                <c:pt idx="24">
                  <c:v>2.6385147225750267E-2</c:v>
                </c:pt>
                <c:pt idx="25">
                  <c:v>3.2314299741490068E-2</c:v>
                </c:pt>
                <c:pt idx="26">
                  <c:v>3.5976262249027217E-2</c:v>
                </c:pt>
                <c:pt idx="27">
                  <c:v>3.5320450594274765E-2</c:v>
                </c:pt>
                <c:pt idx="28">
                  <c:v>3.4912599221538693E-2</c:v>
                </c:pt>
                <c:pt idx="29">
                  <c:v>4.0029670658529824E-2</c:v>
                </c:pt>
                <c:pt idx="30">
                  <c:v>3.9891241001701092E-2</c:v>
                </c:pt>
                <c:pt idx="31">
                  <c:v>4.6289953853363867E-2</c:v>
                </c:pt>
                <c:pt idx="32">
                  <c:v>5.011316681531313E-2</c:v>
                </c:pt>
                <c:pt idx="33">
                  <c:v>5.4406610204362688E-2</c:v>
                </c:pt>
                <c:pt idx="34">
                  <c:v>5.5897157892455529E-2</c:v>
                </c:pt>
                <c:pt idx="35">
                  <c:v>5.7144809703578048E-2</c:v>
                </c:pt>
                <c:pt idx="36">
                  <c:v>5.6013502522555964E-2</c:v>
                </c:pt>
                <c:pt idx="37">
                  <c:v>5.2517376761236308E-2</c:v>
                </c:pt>
                <c:pt idx="38">
                  <c:v>4.8574462226545836E-2</c:v>
                </c:pt>
                <c:pt idx="39">
                  <c:v>4.1755905584320852E-2</c:v>
                </c:pt>
                <c:pt idx="40">
                  <c:v>3.8474990904584207E-2</c:v>
                </c:pt>
                <c:pt idx="41">
                  <c:v>4.1654250415259449E-2</c:v>
                </c:pt>
                <c:pt idx="42">
                  <c:v>4.3148861476435277E-2</c:v>
                </c:pt>
                <c:pt idx="43">
                  <c:v>4.0324018732817116E-2</c:v>
                </c:pt>
                <c:pt idx="44">
                  <c:v>4.2381565318428994E-2</c:v>
                </c:pt>
                <c:pt idx="45">
                  <c:v>4.185550442548315E-2</c:v>
                </c:pt>
                <c:pt idx="46">
                  <c:v>4.6143414286092227E-2</c:v>
                </c:pt>
                <c:pt idx="47">
                  <c:v>4.9776815575711356E-2</c:v>
                </c:pt>
                <c:pt idx="48">
                  <c:v>5.0859531038794939E-2</c:v>
                </c:pt>
                <c:pt idx="49">
                  <c:v>5.1365348277050082E-2</c:v>
                </c:pt>
                <c:pt idx="50">
                  <c:v>5.3992641778705872E-2</c:v>
                </c:pt>
                <c:pt idx="51">
                  <c:v>5.9591694639859562E-2</c:v>
                </c:pt>
                <c:pt idx="52">
                  <c:v>5.6794633760769098E-2</c:v>
                </c:pt>
                <c:pt idx="53">
                  <c:v>5.8063752332281664E-2</c:v>
                </c:pt>
                <c:pt idx="54">
                  <c:v>5.5276256921320648E-2</c:v>
                </c:pt>
                <c:pt idx="55">
                  <c:v>5.2800840864659214E-2</c:v>
                </c:pt>
                <c:pt idx="56">
                  <c:v>5.7301699753099219E-2</c:v>
                </c:pt>
                <c:pt idx="57">
                  <c:v>5.9040541529677651E-2</c:v>
                </c:pt>
                <c:pt idx="58">
                  <c:v>6.3683660931910108E-2</c:v>
                </c:pt>
                <c:pt idx="59">
                  <c:v>6.5168624821963339E-2</c:v>
                </c:pt>
                <c:pt idx="60">
                  <c:v>6.3632754380796047E-2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9D1-6444-BAF2-A18F71EF3071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Scenarios'!$AX$3:$AX$63</c:f>
              <c:numCache>
                <c:formatCode>0.0000%</c:formatCode>
                <c:ptCount val="61"/>
                <c:pt idx="0">
                  <c:v>0.04</c:v>
                </c:pt>
                <c:pt idx="1">
                  <c:v>4.0877636278363737E-2</c:v>
                </c:pt>
                <c:pt idx="2">
                  <c:v>4.3899440346722766E-2</c:v>
                </c:pt>
                <c:pt idx="3">
                  <c:v>4.7600721846948253E-2</c:v>
                </c:pt>
                <c:pt idx="4">
                  <c:v>4.5039452515982965E-2</c:v>
                </c:pt>
                <c:pt idx="5">
                  <c:v>4.365721451420259E-2</c:v>
                </c:pt>
                <c:pt idx="6">
                  <c:v>4.4757790930474856E-2</c:v>
                </c:pt>
                <c:pt idx="7">
                  <c:v>4.3265290738649036E-2</c:v>
                </c:pt>
                <c:pt idx="8">
                  <c:v>4.442311078456581E-2</c:v>
                </c:pt>
                <c:pt idx="9">
                  <c:v>4.1466483617795008E-2</c:v>
                </c:pt>
                <c:pt idx="10">
                  <c:v>4.9844099219866086E-2</c:v>
                </c:pt>
                <c:pt idx="11">
                  <c:v>4.8736164002480209E-2</c:v>
                </c:pt>
                <c:pt idx="12">
                  <c:v>5.1539198525987963E-2</c:v>
                </c:pt>
                <c:pt idx="13">
                  <c:v>5.313403934249681E-2</c:v>
                </c:pt>
                <c:pt idx="14">
                  <c:v>5.5056601591461835E-2</c:v>
                </c:pt>
                <c:pt idx="15">
                  <c:v>5.592619943116877E-2</c:v>
                </c:pt>
                <c:pt idx="16">
                  <c:v>5.9063243129878158E-2</c:v>
                </c:pt>
                <c:pt idx="17">
                  <c:v>6.5086929081937334E-2</c:v>
                </c:pt>
                <c:pt idx="18">
                  <c:v>6.46728039519298E-2</c:v>
                </c:pt>
                <c:pt idx="19">
                  <c:v>6.5567491236024039E-2</c:v>
                </c:pt>
                <c:pt idx="20">
                  <c:v>7.1778829883253417E-2</c:v>
                </c:pt>
                <c:pt idx="21">
                  <c:v>7.3159633872747043E-2</c:v>
                </c:pt>
                <c:pt idx="22">
                  <c:v>6.8487829146431325E-2</c:v>
                </c:pt>
                <c:pt idx="23">
                  <c:v>6.7361973383136958E-2</c:v>
                </c:pt>
                <c:pt idx="24">
                  <c:v>6.9698466638745266E-2</c:v>
                </c:pt>
                <c:pt idx="25">
                  <c:v>6.7982655021035746E-2</c:v>
                </c:pt>
                <c:pt idx="26">
                  <c:v>7.4234868598661158E-2</c:v>
                </c:pt>
                <c:pt idx="27">
                  <c:v>7.2631557402831351E-2</c:v>
                </c:pt>
                <c:pt idx="28">
                  <c:v>7.2561988945713016E-2</c:v>
                </c:pt>
                <c:pt idx="29">
                  <c:v>6.3318746720902902E-2</c:v>
                </c:pt>
                <c:pt idx="30">
                  <c:v>5.8938423530970244E-2</c:v>
                </c:pt>
                <c:pt idx="31">
                  <c:v>6.4164419919048629E-2</c:v>
                </c:pt>
                <c:pt idx="32">
                  <c:v>6.6880375696674571E-2</c:v>
                </c:pt>
                <c:pt idx="33">
                  <c:v>6.0739445216989651E-2</c:v>
                </c:pt>
                <c:pt idx="34">
                  <c:v>6.2520683537886104E-2</c:v>
                </c:pt>
                <c:pt idx="35">
                  <c:v>5.7136003749000658E-2</c:v>
                </c:pt>
                <c:pt idx="36">
                  <c:v>6.2709457611771838E-2</c:v>
                </c:pt>
                <c:pt idx="37">
                  <c:v>6.506681259874468E-2</c:v>
                </c:pt>
                <c:pt idx="38">
                  <c:v>5.9349568349815279E-2</c:v>
                </c:pt>
                <c:pt idx="39">
                  <c:v>6.0554357082405016E-2</c:v>
                </c:pt>
                <c:pt idx="40">
                  <c:v>5.2261272531914857E-2</c:v>
                </c:pt>
                <c:pt idx="41">
                  <c:v>5.2849237052567374E-2</c:v>
                </c:pt>
                <c:pt idx="42">
                  <c:v>5.7937352530333677E-2</c:v>
                </c:pt>
                <c:pt idx="43">
                  <c:v>5.226812584326148E-2</c:v>
                </c:pt>
                <c:pt idx="44">
                  <c:v>5.3660018040079721E-2</c:v>
                </c:pt>
                <c:pt idx="45">
                  <c:v>5.1202208144939115E-2</c:v>
                </c:pt>
                <c:pt idx="46">
                  <c:v>5.1468911417747405E-2</c:v>
                </c:pt>
                <c:pt idx="47">
                  <c:v>5.9799185804429805E-2</c:v>
                </c:pt>
                <c:pt idx="48">
                  <c:v>6.3544102815899076E-2</c:v>
                </c:pt>
                <c:pt idx="49">
                  <c:v>6.7453436978280989E-2</c:v>
                </c:pt>
                <c:pt idx="50">
                  <c:v>6.4153737884431433E-2</c:v>
                </c:pt>
                <c:pt idx="51">
                  <c:v>5.8817089599519957E-2</c:v>
                </c:pt>
                <c:pt idx="52">
                  <c:v>5.8936742448951626E-2</c:v>
                </c:pt>
                <c:pt idx="53">
                  <c:v>6.6246961783383781E-2</c:v>
                </c:pt>
                <c:pt idx="54">
                  <c:v>6.808880078479132E-2</c:v>
                </c:pt>
                <c:pt idx="55">
                  <c:v>6.5449763319394269E-2</c:v>
                </c:pt>
                <c:pt idx="56">
                  <c:v>6.140713131649541E-2</c:v>
                </c:pt>
                <c:pt idx="57">
                  <c:v>6.1158986928295161E-2</c:v>
                </c:pt>
                <c:pt idx="58">
                  <c:v>6.1901984815410073E-2</c:v>
                </c:pt>
                <c:pt idx="59">
                  <c:v>5.9650827290079436E-2</c:v>
                </c:pt>
                <c:pt idx="60">
                  <c:v>5.9063061256484986E-2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39D1-6444-BAF2-A18F71EF3071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Scenarios'!$AY$3:$AY$63</c:f>
              <c:numCache>
                <c:formatCode>0.0000%</c:formatCode>
                <c:ptCount val="61"/>
                <c:pt idx="0">
                  <c:v>0.04</c:v>
                </c:pt>
                <c:pt idx="1">
                  <c:v>3.8315551717458589E-2</c:v>
                </c:pt>
                <c:pt idx="2">
                  <c:v>4.3261044289022665E-2</c:v>
                </c:pt>
                <c:pt idx="3">
                  <c:v>4.1265371210279754E-2</c:v>
                </c:pt>
                <c:pt idx="4">
                  <c:v>3.8548028880835236E-2</c:v>
                </c:pt>
                <c:pt idx="5">
                  <c:v>3.7787548724402889E-2</c:v>
                </c:pt>
                <c:pt idx="6">
                  <c:v>3.2160663423679972E-2</c:v>
                </c:pt>
                <c:pt idx="7">
                  <c:v>3.3514782978626478E-2</c:v>
                </c:pt>
                <c:pt idx="8">
                  <c:v>3.7989807419497736E-2</c:v>
                </c:pt>
                <c:pt idx="9">
                  <c:v>3.7642033929198619E-2</c:v>
                </c:pt>
                <c:pt idx="10">
                  <c:v>3.3921934570711534E-2</c:v>
                </c:pt>
                <c:pt idx="11">
                  <c:v>3.7483200662151377E-2</c:v>
                </c:pt>
                <c:pt idx="12">
                  <c:v>3.6654569365390105E-2</c:v>
                </c:pt>
                <c:pt idx="13">
                  <c:v>4.3038921936634764E-2</c:v>
                </c:pt>
                <c:pt idx="14">
                  <c:v>4.6253705721965736E-2</c:v>
                </c:pt>
                <c:pt idx="15">
                  <c:v>4.6175793671699508E-2</c:v>
                </c:pt>
                <c:pt idx="16">
                  <c:v>4.6524161332115642E-2</c:v>
                </c:pt>
                <c:pt idx="17">
                  <c:v>4.3925150147080413E-2</c:v>
                </c:pt>
                <c:pt idx="18">
                  <c:v>4.1699496284581986E-2</c:v>
                </c:pt>
                <c:pt idx="19">
                  <c:v>4.1058597347468681E-2</c:v>
                </c:pt>
                <c:pt idx="20">
                  <c:v>3.9390835143151552E-2</c:v>
                </c:pt>
                <c:pt idx="21">
                  <c:v>4.5462037815384999E-2</c:v>
                </c:pt>
                <c:pt idx="22">
                  <c:v>4.4915938236587911E-2</c:v>
                </c:pt>
                <c:pt idx="23">
                  <c:v>4.3555527707493914E-2</c:v>
                </c:pt>
                <c:pt idx="24">
                  <c:v>4.5504755880604694E-2</c:v>
                </c:pt>
                <c:pt idx="25">
                  <c:v>4.3294190832518779E-2</c:v>
                </c:pt>
                <c:pt idx="26">
                  <c:v>4.3113611238790664E-2</c:v>
                </c:pt>
                <c:pt idx="27">
                  <c:v>4.1628217247379209E-2</c:v>
                </c:pt>
                <c:pt idx="28">
                  <c:v>4.9886904303741209E-2</c:v>
                </c:pt>
                <c:pt idx="29">
                  <c:v>5.0123520144997595E-2</c:v>
                </c:pt>
                <c:pt idx="30">
                  <c:v>4.8337964707653794E-2</c:v>
                </c:pt>
                <c:pt idx="31">
                  <c:v>5.2110258323980765E-2</c:v>
                </c:pt>
                <c:pt idx="32">
                  <c:v>4.8026812428513629E-2</c:v>
                </c:pt>
                <c:pt idx="33">
                  <c:v>4.3616027439977549E-2</c:v>
                </c:pt>
                <c:pt idx="34">
                  <c:v>4.5549629542264568E-2</c:v>
                </c:pt>
                <c:pt idx="35">
                  <c:v>4.2695678740696748E-2</c:v>
                </c:pt>
                <c:pt idx="36">
                  <c:v>4.0049515882568068E-2</c:v>
                </c:pt>
                <c:pt idx="37">
                  <c:v>3.8595976734497529E-2</c:v>
                </c:pt>
                <c:pt idx="38">
                  <c:v>3.1744853135837331E-2</c:v>
                </c:pt>
                <c:pt idx="39">
                  <c:v>3.6193705206893058E-2</c:v>
                </c:pt>
                <c:pt idx="40">
                  <c:v>3.9701636541793477E-2</c:v>
                </c:pt>
                <c:pt idx="41">
                  <c:v>3.295257030677369E-2</c:v>
                </c:pt>
                <c:pt idx="42">
                  <c:v>2.8622482463404583E-2</c:v>
                </c:pt>
                <c:pt idx="43">
                  <c:v>2.97230439457482E-2</c:v>
                </c:pt>
                <c:pt idx="44">
                  <c:v>3.1585565711178334E-2</c:v>
                </c:pt>
                <c:pt idx="45">
                  <c:v>3.422858513595798E-2</c:v>
                </c:pt>
                <c:pt idx="46">
                  <c:v>3.2153413125219923E-2</c:v>
                </c:pt>
                <c:pt idx="47">
                  <c:v>3.3875039649336511E-2</c:v>
                </c:pt>
                <c:pt idx="48">
                  <c:v>3.6454713416109119E-2</c:v>
                </c:pt>
                <c:pt idx="49">
                  <c:v>3.6286111764165144E-2</c:v>
                </c:pt>
                <c:pt idx="50">
                  <c:v>3.4926256799161913E-2</c:v>
                </c:pt>
                <c:pt idx="51">
                  <c:v>3.6310480221439491E-2</c:v>
                </c:pt>
                <c:pt idx="52">
                  <c:v>3.45177342282353E-2</c:v>
                </c:pt>
                <c:pt idx="53">
                  <c:v>3.5604723616100842E-2</c:v>
                </c:pt>
                <c:pt idx="54">
                  <c:v>3.2699885115297755E-2</c:v>
                </c:pt>
                <c:pt idx="55">
                  <c:v>3.5810621559147188E-2</c:v>
                </c:pt>
                <c:pt idx="56">
                  <c:v>3.2407611134728821E-2</c:v>
                </c:pt>
                <c:pt idx="57">
                  <c:v>3.0300859579794264E-2</c:v>
                </c:pt>
                <c:pt idx="58">
                  <c:v>2.8898016395698726E-2</c:v>
                </c:pt>
                <c:pt idx="59">
                  <c:v>2.9277847047813839E-2</c:v>
                </c:pt>
                <c:pt idx="60">
                  <c:v>3.1343658809540313E-2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9D1-6444-BAF2-A18F71EF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488912"/>
        <c:axId val="1940743359"/>
      </c:lineChart>
      <c:catAx>
        <c:axId val="123548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43359"/>
        <c:crosses val="autoZero"/>
        <c:auto val="1"/>
        <c:lblAlgn val="ctr"/>
        <c:lblOffset val="100"/>
        <c:noMultiLvlLbl val="0"/>
      </c:catAx>
      <c:valAx>
        <c:axId val="19407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48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'All Scenarios Summary'!$B$3</c:f>
              <c:strCache>
                <c:ptCount val="1"/>
                <c:pt idx="0">
                  <c:v>SGPV ($)_real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'All Scenarios Summary'!$A$4:$A$53</c:f>
              <c:numCache>
                <c:formatCode>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'All Scenarios Summary'!$B$4:$B$53</c:f>
              <c:numCache>
                <c:formatCode>#,##0</c:formatCode>
                <c:ptCount val="50"/>
                <c:pt idx="0">
                  <c:v>0</c:v>
                </c:pt>
                <c:pt idx="1">
                  <c:v>7334853.7951695779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576369.37142119382</c:v>
                </c:pt>
                <c:pt idx="6">
                  <c:v>4919264.0417576982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7933735.5009655319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4425651.7605793532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4967839.0909134625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5596886.7302558795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3050740.2749275644</c:v>
                </c:pt>
                <c:pt idx="46">
                  <c:v>4058649.1325178547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9-C74E-B807-F100785E4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184560"/>
        <c:axId val="265087504"/>
      </c:barChart>
      <c:catAx>
        <c:axId val="26518456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087504"/>
        <c:crosses val="autoZero"/>
        <c:auto val="1"/>
        <c:lblAlgn val="ctr"/>
        <c:lblOffset val="100"/>
        <c:noMultiLvlLbl val="0"/>
      </c:catAx>
      <c:valAx>
        <c:axId val="26508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12</xdr:col>
      <xdr:colOff>0</xdr:colOff>
      <xdr:row>95</xdr:row>
      <xdr:rowOff>0</xdr:rowOff>
    </xdr:to>
    <xdr:graphicFrame macro="">
      <xdr:nvGraphicFramePr>
        <xdr:cNvPr id="2" name="CIR Rate Scenarios">
          <a:extLst>
            <a:ext uri="{FF2B5EF4-FFF2-40B4-BE49-F238E27FC236}">
              <a16:creationId xmlns:a16="http://schemas.microsoft.com/office/drawing/2014/main" id="{12CC212A-1053-4A8E-BD28-CF3889696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558800</xdr:colOff>
      <xdr:row>5</xdr:row>
      <xdr:rowOff>88906</xdr:rowOff>
    </xdr:from>
    <xdr:to>
      <xdr:col>13</xdr:col>
      <xdr:colOff>774700</xdr:colOff>
      <xdr:row>36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A59607-81DA-AD74-EEA5-DAAAAF91E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77FF43-45D7-ED42-9FC0-AEE315CBCF9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a105c07-bc8d-4e3e-a0cc-cb492e15db1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D44E-6C2F-C845-877B-ED71DF7EA568}">
  <dimension ref="A1:B26"/>
  <sheetViews>
    <sheetView showGridLines="0" tabSelected="1" workbookViewId="0">
      <pane ySplit="1" topLeftCell="A2" activePane="bottomLeft" state="frozen"/>
      <selection pane="bottomLeft" activeCell="F13" sqref="F13"/>
    </sheetView>
  </sheetViews>
  <sheetFormatPr baseColWidth="10" defaultRowHeight="16" x14ac:dyDescent="0.2"/>
  <cols>
    <col min="1" max="1" width="43.33203125" customWidth="1"/>
    <col min="2" max="2" width="37.33203125" bestFit="1" customWidth="1"/>
  </cols>
  <sheetData>
    <row r="1" spans="1:2" ht="19" x14ac:dyDescent="0.25">
      <c r="A1" s="49" t="s">
        <v>0</v>
      </c>
      <c r="B1" s="50"/>
    </row>
    <row r="2" spans="1:2" x14ac:dyDescent="0.2">
      <c r="A2" s="51" t="s">
        <v>1</v>
      </c>
      <c r="B2" s="59">
        <v>100000000</v>
      </c>
    </row>
    <row r="3" spans="1:2" x14ac:dyDescent="0.2">
      <c r="A3" s="51" t="s">
        <v>2</v>
      </c>
      <c r="B3" s="62">
        <v>3.5000000000000003E-2</v>
      </c>
    </row>
    <row r="4" spans="1:2" x14ac:dyDescent="0.2">
      <c r="A4" s="51" t="s">
        <v>3</v>
      </c>
      <c r="B4" s="60">
        <v>5</v>
      </c>
    </row>
    <row r="5" spans="1:2" x14ac:dyDescent="0.2">
      <c r="A5" s="51" t="s">
        <v>4</v>
      </c>
      <c r="B5" s="62">
        <v>0.04</v>
      </c>
    </row>
    <row r="6" spans="1:2" x14ac:dyDescent="0.2">
      <c r="A6" s="51" t="s">
        <v>5</v>
      </c>
      <c r="B6" s="59">
        <v>100000000</v>
      </c>
    </row>
    <row r="7" spans="1:2" x14ac:dyDescent="0.2">
      <c r="A7" s="51" t="s">
        <v>6</v>
      </c>
      <c r="B7" s="59">
        <v>20000000</v>
      </c>
    </row>
    <row r="8" spans="1:2" x14ac:dyDescent="0.2">
      <c r="A8" s="51" t="s">
        <v>7</v>
      </c>
      <c r="B8" s="59">
        <v>50000</v>
      </c>
    </row>
    <row r="9" spans="1:2" x14ac:dyDescent="0.2">
      <c r="A9" s="51" t="s">
        <v>8</v>
      </c>
      <c r="B9" s="62">
        <v>0.21</v>
      </c>
    </row>
    <row r="10" spans="1:2" x14ac:dyDescent="0.2">
      <c r="A10" s="51" t="s">
        <v>9</v>
      </c>
      <c r="B10" s="62">
        <v>0.2</v>
      </c>
    </row>
    <row r="11" spans="1:2" x14ac:dyDescent="0.2">
      <c r="A11" s="51" t="s">
        <v>10</v>
      </c>
      <c r="B11" s="62">
        <v>4.4999999999999998E-2</v>
      </c>
    </row>
    <row r="12" spans="1:2" x14ac:dyDescent="0.2">
      <c r="A12" s="51" t="s">
        <v>11</v>
      </c>
      <c r="B12" s="62">
        <v>0.06</v>
      </c>
    </row>
    <row r="13" spans="1:2" x14ac:dyDescent="0.2">
      <c r="A13" s="51" t="s">
        <v>12</v>
      </c>
      <c r="B13" s="62">
        <v>0.04</v>
      </c>
    </row>
    <row r="14" spans="1:2" x14ac:dyDescent="0.2">
      <c r="A14" s="51" t="s">
        <v>13</v>
      </c>
      <c r="B14" s="60">
        <v>50</v>
      </c>
    </row>
    <row r="15" spans="1:2" x14ac:dyDescent="0.2">
      <c r="A15" s="52" t="s">
        <v>14</v>
      </c>
      <c r="B15" s="61">
        <v>60</v>
      </c>
    </row>
    <row r="17" spans="1:2" x14ac:dyDescent="0.2">
      <c r="A17" s="48" t="s">
        <v>157</v>
      </c>
    </row>
    <row r="19" spans="1:2" x14ac:dyDescent="0.2">
      <c r="A19" s="53" t="s">
        <v>158</v>
      </c>
      <c r="B19" s="54"/>
    </row>
    <row r="20" spans="1:2" x14ac:dyDescent="0.2">
      <c r="A20" s="57" t="s">
        <v>159</v>
      </c>
      <c r="B20" s="55" t="s">
        <v>172</v>
      </c>
    </row>
    <row r="21" spans="1:2" x14ac:dyDescent="0.2">
      <c r="A21" s="57" t="s">
        <v>160</v>
      </c>
      <c r="B21" s="55" t="s">
        <v>161</v>
      </c>
    </row>
    <row r="22" spans="1:2" x14ac:dyDescent="0.2">
      <c r="A22" s="57" t="s">
        <v>162</v>
      </c>
      <c r="B22" s="55" t="s">
        <v>163</v>
      </c>
    </row>
    <row r="23" spans="1:2" x14ac:dyDescent="0.2">
      <c r="A23" s="57" t="s">
        <v>164</v>
      </c>
      <c r="B23" s="55" t="s">
        <v>165</v>
      </c>
    </row>
    <row r="24" spans="1:2" x14ac:dyDescent="0.2">
      <c r="A24" s="57" t="s">
        <v>166</v>
      </c>
      <c r="B24" s="55" t="s">
        <v>167</v>
      </c>
    </row>
    <row r="25" spans="1:2" x14ac:dyDescent="0.2">
      <c r="A25" s="57" t="s">
        <v>168</v>
      </c>
      <c r="B25" s="55" t="s">
        <v>169</v>
      </c>
    </row>
    <row r="26" spans="1:2" x14ac:dyDescent="0.2">
      <c r="A26" s="58" t="s">
        <v>170</v>
      </c>
      <c r="B26" s="56" t="s">
        <v>171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B5CC-648F-B446-A041-A82B613A7F05}">
  <dimension ref="A1:AY63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10" defaultRowHeight="16" x14ac:dyDescent="0.2"/>
  <cols>
    <col min="1" max="1" width="10" customWidth="1"/>
    <col min="2" max="51" width="12" customWidth="1"/>
  </cols>
  <sheetData>
    <row r="1" spans="1:51" ht="19" x14ac:dyDescent="0.25">
      <c r="A1" s="2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37</v>
      </c>
      <c r="W2" s="7" t="s">
        <v>38</v>
      </c>
      <c r="X2" s="7" t="s">
        <v>39</v>
      </c>
      <c r="Y2" s="7" t="s">
        <v>40</v>
      </c>
      <c r="Z2" s="7" t="s">
        <v>41</v>
      </c>
      <c r="AA2" s="7" t="s">
        <v>42</v>
      </c>
      <c r="AB2" s="7" t="s">
        <v>43</v>
      </c>
      <c r="AC2" s="7" t="s">
        <v>44</v>
      </c>
      <c r="AD2" s="7" t="s">
        <v>45</v>
      </c>
      <c r="AE2" s="7" t="s">
        <v>46</v>
      </c>
      <c r="AF2" s="7" t="s">
        <v>47</v>
      </c>
      <c r="AG2" s="7" t="s">
        <v>48</v>
      </c>
      <c r="AH2" s="7" t="s">
        <v>49</v>
      </c>
      <c r="AI2" s="7" t="s">
        <v>50</v>
      </c>
      <c r="AJ2" s="7" t="s">
        <v>51</v>
      </c>
      <c r="AK2" s="7" t="s">
        <v>52</v>
      </c>
      <c r="AL2" s="7" t="s">
        <v>53</v>
      </c>
      <c r="AM2" s="7" t="s">
        <v>54</v>
      </c>
      <c r="AN2" s="7" t="s">
        <v>55</v>
      </c>
      <c r="AO2" s="7" t="s">
        <v>56</v>
      </c>
      <c r="AP2" s="7" t="s">
        <v>57</v>
      </c>
      <c r="AQ2" s="7" t="s">
        <v>58</v>
      </c>
      <c r="AR2" s="7" t="s">
        <v>59</v>
      </c>
      <c r="AS2" s="7" t="s">
        <v>60</v>
      </c>
      <c r="AT2" s="7" t="s">
        <v>61</v>
      </c>
      <c r="AU2" s="7" t="s">
        <v>62</v>
      </c>
      <c r="AV2" s="7" t="s">
        <v>63</v>
      </c>
      <c r="AW2" s="7" t="s">
        <v>64</v>
      </c>
      <c r="AX2" s="7" t="s">
        <v>65</v>
      </c>
      <c r="AY2" s="7" t="s">
        <v>66</v>
      </c>
    </row>
    <row r="3" spans="1:51" x14ac:dyDescent="0.2">
      <c r="A3" s="5">
        <v>0</v>
      </c>
      <c r="B3" s="4">
        <v>0.04</v>
      </c>
      <c r="C3" s="4">
        <v>0.04</v>
      </c>
      <c r="D3" s="4">
        <v>0.04</v>
      </c>
      <c r="E3" s="4">
        <v>0.04</v>
      </c>
      <c r="F3" s="4">
        <v>0.04</v>
      </c>
      <c r="G3" s="4">
        <v>0.04</v>
      </c>
      <c r="H3" s="4">
        <v>0.04</v>
      </c>
      <c r="I3" s="4">
        <v>0.04</v>
      </c>
      <c r="J3" s="4">
        <v>0.04</v>
      </c>
      <c r="K3" s="4">
        <v>0.04</v>
      </c>
      <c r="L3" s="4">
        <v>0.04</v>
      </c>
      <c r="M3" s="4">
        <v>0.04</v>
      </c>
      <c r="N3" s="4">
        <v>0.04</v>
      </c>
      <c r="O3" s="4">
        <v>0.04</v>
      </c>
      <c r="P3" s="4">
        <v>0.04</v>
      </c>
      <c r="Q3" s="4">
        <v>0.04</v>
      </c>
      <c r="R3" s="4">
        <v>0.04</v>
      </c>
      <c r="S3" s="4">
        <v>0.04</v>
      </c>
      <c r="T3" s="4">
        <v>0.04</v>
      </c>
      <c r="U3" s="4">
        <v>0.04</v>
      </c>
      <c r="V3" s="4">
        <v>0.04</v>
      </c>
      <c r="W3" s="4">
        <v>0.04</v>
      </c>
      <c r="X3" s="4">
        <v>0.04</v>
      </c>
      <c r="Y3" s="4">
        <v>0.04</v>
      </c>
      <c r="Z3" s="4">
        <v>0.04</v>
      </c>
      <c r="AA3" s="4">
        <v>0.04</v>
      </c>
      <c r="AB3" s="4">
        <v>0.04</v>
      </c>
      <c r="AC3" s="4">
        <v>0.04</v>
      </c>
      <c r="AD3" s="4">
        <v>0.04</v>
      </c>
      <c r="AE3" s="4">
        <v>0.04</v>
      </c>
      <c r="AF3" s="4">
        <v>0.04</v>
      </c>
      <c r="AG3" s="4">
        <v>0.04</v>
      </c>
      <c r="AH3" s="4">
        <v>0.04</v>
      </c>
      <c r="AI3" s="4">
        <v>0.04</v>
      </c>
      <c r="AJ3" s="4">
        <v>0.04</v>
      </c>
      <c r="AK3" s="4">
        <v>0.04</v>
      </c>
      <c r="AL3" s="4">
        <v>0.04</v>
      </c>
      <c r="AM3" s="4">
        <v>0.04</v>
      </c>
      <c r="AN3" s="4">
        <v>0.04</v>
      </c>
      <c r="AO3" s="4">
        <v>0.04</v>
      </c>
      <c r="AP3" s="4">
        <v>0.04</v>
      </c>
      <c r="AQ3" s="4">
        <v>0.04</v>
      </c>
      <c r="AR3" s="4">
        <v>0.04</v>
      </c>
      <c r="AS3" s="4">
        <v>0.04</v>
      </c>
      <c r="AT3" s="4">
        <v>0.04</v>
      </c>
      <c r="AU3" s="4">
        <v>0.04</v>
      </c>
      <c r="AV3" s="4">
        <v>0.04</v>
      </c>
      <c r="AW3" s="4">
        <v>0.04</v>
      </c>
      <c r="AX3" s="4">
        <v>0.04</v>
      </c>
      <c r="AY3" s="4">
        <v>0.04</v>
      </c>
    </row>
    <row r="4" spans="1:51" x14ac:dyDescent="0.2">
      <c r="A4" s="5">
        <v>1</v>
      </c>
      <c r="B4" s="4">
        <v>3.6664229300326118E-2</v>
      </c>
      <c r="C4" s="4">
        <v>4.0846403562909778E-2</v>
      </c>
      <c r="D4" s="4">
        <v>4.142292793464547E-2</v>
      </c>
      <c r="E4" s="4">
        <v>4.0313322650764906E-2</v>
      </c>
      <c r="F4" s="4">
        <v>4.4063892187793906E-2</v>
      </c>
      <c r="G4" s="4">
        <v>4.3935799571333027E-2</v>
      </c>
      <c r="H4" s="4">
        <v>3.7228923987842222E-2</v>
      </c>
      <c r="I4" s="4">
        <v>4.1243630301571389E-2</v>
      </c>
      <c r="J4" s="4">
        <v>4.1911332096615232E-2</v>
      </c>
      <c r="K4" s="4">
        <v>3.6758132436381957E-2</v>
      </c>
      <c r="L4" s="4">
        <v>3.9481359074275538E-2</v>
      </c>
      <c r="M4" s="4">
        <v>3.9275017429305441E-2</v>
      </c>
      <c r="N4" s="4">
        <v>4.1835594949686521E-2</v>
      </c>
      <c r="O4" s="4">
        <v>3.7042299510480492E-2</v>
      </c>
      <c r="P4" s="4">
        <v>4.1464100943905624E-2</v>
      </c>
      <c r="Q4" s="4">
        <v>3.6266558860048571E-2</v>
      </c>
      <c r="R4" s="4">
        <v>3.9168049847800077E-2</v>
      </c>
      <c r="S4" s="4">
        <v>4.024519151426021E-2</v>
      </c>
      <c r="T4" s="4">
        <v>4.8026553503180164E-2</v>
      </c>
      <c r="U4" s="4">
        <v>4.1074229417876154E-2</v>
      </c>
      <c r="V4" s="4">
        <v>4.1515690663985104E-2</v>
      </c>
      <c r="W4" s="4">
        <v>4.366938885825971E-2</v>
      </c>
      <c r="X4" s="4">
        <v>4.8054818064803939E-2</v>
      </c>
      <c r="Y4" s="4">
        <v>3.1670775374779456E-2</v>
      </c>
      <c r="Z4" s="4">
        <v>3.4457318217949368E-2</v>
      </c>
      <c r="AA4" s="4">
        <v>3.8438074896773596E-2</v>
      </c>
      <c r="AB4" s="4">
        <v>4.3683535534798361E-2</v>
      </c>
      <c r="AC4" s="4">
        <v>3.5778296920865656E-2</v>
      </c>
      <c r="AD4" s="4">
        <v>4.262540309794003E-2</v>
      </c>
      <c r="AE4" s="4">
        <v>3.8923252343124659E-2</v>
      </c>
      <c r="AF4" s="4">
        <v>3.733153060181376E-2</v>
      </c>
      <c r="AG4" s="4">
        <v>4.2717065475340155E-2</v>
      </c>
      <c r="AH4" s="4">
        <v>4.4780121496809253E-2</v>
      </c>
      <c r="AI4" s="4">
        <v>4.7547581876484349E-2</v>
      </c>
      <c r="AJ4" s="4">
        <v>3.8425733963860044E-2</v>
      </c>
      <c r="AK4" s="4">
        <v>4.251115618897134E-2</v>
      </c>
      <c r="AL4" s="4">
        <v>4.0268084321171842E-2</v>
      </c>
      <c r="AM4" s="4">
        <v>4.2778632809301213E-2</v>
      </c>
      <c r="AN4" s="4">
        <v>3.8542504750688517E-2</v>
      </c>
      <c r="AO4" s="4">
        <v>4.0157483254087689E-2</v>
      </c>
      <c r="AP4" s="4">
        <v>3.7840930708480373E-2</v>
      </c>
      <c r="AQ4" s="4">
        <v>4.7297461890122856E-2</v>
      </c>
      <c r="AR4" s="4">
        <v>3.9643457853334063E-2</v>
      </c>
      <c r="AS4" s="4">
        <v>4.1682756060852366E-2</v>
      </c>
      <c r="AT4" s="4">
        <v>3.7048897080274798E-2</v>
      </c>
      <c r="AU4" s="4">
        <v>3.6869705284010006E-2</v>
      </c>
      <c r="AV4" s="4">
        <v>4.1845999611875469E-2</v>
      </c>
      <c r="AW4" s="4">
        <v>4.3625298180572918E-2</v>
      </c>
      <c r="AX4" s="4">
        <v>4.0877636278363737E-2</v>
      </c>
      <c r="AY4" s="4">
        <v>3.8315551717458589E-2</v>
      </c>
    </row>
    <row r="5" spans="1:51" x14ac:dyDescent="0.2">
      <c r="A5" s="5">
        <v>2</v>
      </c>
      <c r="B5" s="4">
        <v>3.4322269717447985E-2</v>
      </c>
      <c r="C5" s="4">
        <v>3.5293290338028013E-2</v>
      </c>
      <c r="D5" s="4">
        <v>4.2446619704538537E-2</v>
      </c>
      <c r="E5" s="4">
        <v>3.2093420996597649E-2</v>
      </c>
      <c r="F5" s="4">
        <v>4.5839077868128283E-2</v>
      </c>
      <c r="G5" s="4">
        <v>3.9312186315807261E-2</v>
      </c>
      <c r="H5" s="4">
        <v>3.9190128407095425E-2</v>
      </c>
      <c r="I5" s="4">
        <v>4.7525245561322496E-2</v>
      </c>
      <c r="J5" s="4">
        <v>3.7815251012899523E-2</v>
      </c>
      <c r="K5" s="4">
        <v>3.8236350738169562E-2</v>
      </c>
      <c r="L5" s="4">
        <v>4.0420463961445732E-2</v>
      </c>
      <c r="M5" s="4">
        <v>4.317746559956482E-2</v>
      </c>
      <c r="N5" s="4">
        <v>4.3461205964556472E-2</v>
      </c>
      <c r="O5" s="4">
        <v>3.8468169009173957E-2</v>
      </c>
      <c r="P5" s="4">
        <v>3.7204187774148634E-2</v>
      </c>
      <c r="Q5" s="4">
        <v>3.4196032279321602E-2</v>
      </c>
      <c r="R5" s="4">
        <v>3.9737806147195839E-2</v>
      </c>
      <c r="S5" s="4">
        <v>4.0271396201320746E-2</v>
      </c>
      <c r="T5" s="4">
        <v>4.7015379849633249E-2</v>
      </c>
      <c r="U5" s="4">
        <v>4.1097890415668491E-2</v>
      </c>
      <c r="V5" s="4">
        <v>4.4328773623128336E-2</v>
      </c>
      <c r="W5" s="4">
        <v>4.3344724439275797E-2</v>
      </c>
      <c r="X5" s="4">
        <v>4.735504583795256E-2</v>
      </c>
      <c r="Y5" s="4">
        <v>3.1572015363837247E-2</v>
      </c>
      <c r="Z5" s="4">
        <v>3.9209093062592029E-2</v>
      </c>
      <c r="AA5" s="4">
        <v>3.4554699142784286E-2</v>
      </c>
      <c r="AB5" s="4">
        <v>4.8208157495458794E-2</v>
      </c>
      <c r="AC5" s="4">
        <v>3.4075814323588687E-2</v>
      </c>
      <c r="AD5" s="4">
        <v>4.419949531365254E-2</v>
      </c>
      <c r="AE5" s="4">
        <v>4.0965992812210549E-2</v>
      </c>
      <c r="AF5" s="4">
        <v>3.804676006614334E-2</v>
      </c>
      <c r="AG5" s="4">
        <v>4.1142209129607234E-2</v>
      </c>
      <c r="AH5" s="4">
        <v>3.5215928297574715E-2</v>
      </c>
      <c r="AI5" s="4">
        <v>4.4152671809311518E-2</v>
      </c>
      <c r="AJ5" s="4">
        <v>4.0576394872106257E-2</v>
      </c>
      <c r="AK5" s="4">
        <v>4.19020553333933E-2</v>
      </c>
      <c r="AL5" s="4">
        <v>4.3818564632934646E-2</v>
      </c>
      <c r="AM5" s="4">
        <v>4.4184861357759064E-2</v>
      </c>
      <c r="AN5" s="4">
        <v>3.3407902873152012E-2</v>
      </c>
      <c r="AO5" s="4">
        <v>3.7532808275657505E-2</v>
      </c>
      <c r="AP5" s="4">
        <v>3.5133306118954009E-2</v>
      </c>
      <c r="AQ5" s="4">
        <v>4.4886678643768087E-2</v>
      </c>
      <c r="AR5" s="4">
        <v>3.5473410635746064E-2</v>
      </c>
      <c r="AS5" s="4">
        <v>4.1922940696930852E-2</v>
      </c>
      <c r="AT5" s="4">
        <v>3.3841125429572468E-2</v>
      </c>
      <c r="AU5" s="4">
        <v>4.0612314520267118E-2</v>
      </c>
      <c r="AV5" s="4">
        <v>4.2449923469924433E-2</v>
      </c>
      <c r="AW5" s="4">
        <v>3.9038292255896383E-2</v>
      </c>
      <c r="AX5" s="4">
        <v>4.3899440346722766E-2</v>
      </c>
      <c r="AY5" s="4">
        <v>4.3261044289022665E-2</v>
      </c>
    </row>
    <row r="6" spans="1:51" x14ac:dyDescent="0.2">
      <c r="A6" s="5">
        <v>3</v>
      </c>
      <c r="B6" s="4">
        <v>3.4482850787575146E-2</v>
      </c>
      <c r="C6" s="4">
        <v>3.4633435490926144E-2</v>
      </c>
      <c r="D6" s="4">
        <v>4.5088168733857202E-2</v>
      </c>
      <c r="E6" s="4">
        <v>3.4011047634875231E-2</v>
      </c>
      <c r="F6" s="4">
        <v>4.2989624314160001E-2</v>
      </c>
      <c r="G6" s="4">
        <v>3.9395717680568244E-2</v>
      </c>
      <c r="H6" s="4">
        <v>3.8379308315467042E-2</v>
      </c>
      <c r="I6" s="4">
        <v>4.7391682369551782E-2</v>
      </c>
      <c r="J6" s="4">
        <v>4.1535524537194654E-2</v>
      </c>
      <c r="K6" s="4">
        <v>3.5670406496132553E-2</v>
      </c>
      <c r="L6" s="4">
        <v>3.7938141155500066E-2</v>
      </c>
      <c r="M6" s="4">
        <v>4.4049211709865525E-2</v>
      </c>
      <c r="N6" s="4">
        <v>4.1116046343029823E-2</v>
      </c>
      <c r="O6" s="4">
        <v>3.8574358884542186E-2</v>
      </c>
      <c r="P6" s="4">
        <v>3.9398021509290469E-2</v>
      </c>
      <c r="Q6" s="4">
        <v>3.3710899478538114E-2</v>
      </c>
      <c r="R6" s="4">
        <v>3.7847167241513741E-2</v>
      </c>
      <c r="S6" s="4">
        <v>3.8850128353978337E-2</v>
      </c>
      <c r="T6" s="4">
        <v>4.7314602004228157E-2</v>
      </c>
      <c r="U6" s="4">
        <v>4.696518057059091E-2</v>
      </c>
      <c r="V6" s="4">
        <v>4.461064309240606E-2</v>
      </c>
      <c r="W6" s="4">
        <v>3.6768496550609556E-2</v>
      </c>
      <c r="X6" s="4">
        <v>4.2569994173277483E-2</v>
      </c>
      <c r="Y6" s="4">
        <v>3.5167263775121707E-2</v>
      </c>
      <c r="Z6" s="4">
        <v>4.331049800756049E-2</v>
      </c>
      <c r="AA6" s="4">
        <v>3.970549249167496E-2</v>
      </c>
      <c r="AB6" s="4">
        <v>4.3988988980334501E-2</v>
      </c>
      <c r="AC6" s="4">
        <v>3.202313674912053E-2</v>
      </c>
      <c r="AD6" s="4">
        <v>4.0345661174955798E-2</v>
      </c>
      <c r="AE6" s="4">
        <v>3.6119521656738297E-2</v>
      </c>
      <c r="AF6" s="4">
        <v>3.8689817544626415E-2</v>
      </c>
      <c r="AG6" s="4">
        <v>4.6687007472707695E-2</v>
      </c>
      <c r="AH6" s="4">
        <v>4.3031127547327942E-2</v>
      </c>
      <c r="AI6" s="4">
        <v>4.109575758523392E-2</v>
      </c>
      <c r="AJ6" s="4">
        <v>4.0258475689068686E-2</v>
      </c>
      <c r="AK6" s="4">
        <v>4.3386170456843356E-2</v>
      </c>
      <c r="AL6" s="4">
        <v>4.6194693564597399E-2</v>
      </c>
      <c r="AM6" s="4">
        <v>4.4837620125666409E-2</v>
      </c>
      <c r="AN6" s="4">
        <v>2.8188029507897318E-2</v>
      </c>
      <c r="AO6" s="4">
        <v>3.2740898846946781E-2</v>
      </c>
      <c r="AP6" s="4">
        <v>3.3333939731361839E-2</v>
      </c>
      <c r="AQ6" s="4">
        <v>4.4864572850924794E-2</v>
      </c>
      <c r="AR6" s="4">
        <v>3.6799685367225644E-2</v>
      </c>
      <c r="AS6" s="4">
        <v>4.3587263753497578E-2</v>
      </c>
      <c r="AT6" s="4">
        <v>3.6485890946976615E-2</v>
      </c>
      <c r="AU6" s="4">
        <v>3.9987701103696094E-2</v>
      </c>
      <c r="AV6" s="4">
        <v>3.845414784970224E-2</v>
      </c>
      <c r="AW6" s="4">
        <v>3.7917940701025207E-2</v>
      </c>
      <c r="AX6" s="4">
        <v>4.7600721846948253E-2</v>
      </c>
      <c r="AY6" s="4">
        <v>4.1265371210279754E-2</v>
      </c>
    </row>
    <row r="7" spans="1:51" x14ac:dyDescent="0.2">
      <c r="A7" s="5">
        <v>4</v>
      </c>
      <c r="B7" s="4">
        <v>3.2157702703643119E-2</v>
      </c>
      <c r="C7" s="4">
        <v>3.7516640746655866E-2</v>
      </c>
      <c r="D7" s="4">
        <v>4.6095797957056477E-2</v>
      </c>
      <c r="E7" s="4">
        <v>3.1825098604768787E-2</v>
      </c>
      <c r="F7" s="4">
        <v>4.4718508874330945E-2</v>
      </c>
      <c r="G7" s="4">
        <v>3.7462012193165521E-2</v>
      </c>
      <c r="H7" s="4">
        <v>3.8290709708973573E-2</v>
      </c>
      <c r="I7" s="4">
        <v>5.2866859382257742E-2</v>
      </c>
      <c r="J7" s="4">
        <v>4.534824961240376E-2</v>
      </c>
      <c r="K7" s="4">
        <v>3.6906839347899331E-2</v>
      </c>
      <c r="L7" s="4">
        <v>3.9320651790667155E-2</v>
      </c>
      <c r="M7" s="4">
        <v>4.2831627981723672E-2</v>
      </c>
      <c r="N7" s="4">
        <v>4.6081592216570086E-2</v>
      </c>
      <c r="O7" s="4">
        <v>3.4255550868243015E-2</v>
      </c>
      <c r="P7" s="4">
        <v>4.029034946402657E-2</v>
      </c>
      <c r="Q7" s="4">
        <v>3.6773547463540057E-2</v>
      </c>
      <c r="R7" s="4">
        <v>3.5814477297102743E-2</v>
      </c>
      <c r="S7" s="4">
        <v>4.4043695958218117E-2</v>
      </c>
      <c r="T7" s="4">
        <v>4.0178412395647761E-2</v>
      </c>
      <c r="U7" s="4">
        <v>4.6010434972149815E-2</v>
      </c>
      <c r="V7" s="4">
        <v>4.4385438806228979E-2</v>
      </c>
      <c r="W7" s="4">
        <v>3.8486156252747449E-2</v>
      </c>
      <c r="X7" s="4">
        <v>4.2195514937067032E-2</v>
      </c>
      <c r="Y7" s="4">
        <v>2.9103632585768747E-2</v>
      </c>
      <c r="Z7" s="4">
        <v>4.4342454117449914E-2</v>
      </c>
      <c r="AA7" s="4">
        <v>3.9766427359227287E-2</v>
      </c>
      <c r="AB7" s="4">
        <v>4.283507558827767E-2</v>
      </c>
      <c r="AC7" s="4">
        <v>3.3524086527934129E-2</v>
      </c>
      <c r="AD7" s="4">
        <v>3.6902617838570809E-2</v>
      </c>
      <c r="AE7" s="4">
        <v>3.8361507059796462E-2</v>
      </c>
      <c r="AF7" s="4">
        <v>3.3135833789901405E-2</v>
      </c>
      <c r="AG7" s="4">
        <v>4.2591353831726519E-2</v>
      </c>
      <c r="AH7" s="4">
        <v>4.4224441903511671E-2</v>
      </c>
      <c r="AI7" s="4">
        <v>3.5991303095256402E-2</v>
      </c>
      <c r="AJ7" s="4">
        <v>4.124364614107881E-2</v>
      </c>
      <c r="AK7" s="4">
        <v>4.2271848923802237E-2</v>
      </c>
      <c r="AL7" s="4">
        <v>5.368282694933782E-2</v>
      </c>
      <c r="AM7" s="4">
        <v>3.720581782243771E-2</v>
      </c>
      <c r="AN7" s="4">
        <v>2.7062583961525673E-2</v>
      </c>
      <c r="AO7" s="4">
        <v>3.3394419018590221E-2</v>
      </c>
      <c r="AP7" s="4">
        <v>3.2994862957083392E-2</v>
      </c>
      <c r="AQ7" s="4">
        <v>5.2866500811376754E-2</v>
      </c>
      <c r="AR7" s="4">
        <v>4.4003435578245167E-2</v>
      </c>
      <c r="AS7" s="4">
        <v>4.6156809983223218E-2</v>
      </c>
      <c r="AT7" s="4">
        <v>3.7733613143295111E-2</v>
      </c>
      <c r="AU7" s="4">
        <v>3.2418341485787469E-2</v>
      </c>
      <c r="AV7" s="4">
        <v>4.0640112015038803E-2</v>
      </c>
      <c r="AW7" s="4">
        <v>3.2483430506930699E-2</v>
      </c>
      <c r="AX7" s="4">
        <v>4.5039452515982965E-2</v>
      </c>
      <c r="AY7" s="4">
        <v>3.8548028880835236E-2</v>
      </c>
    </row>
    <row r="8" spans="1:51" x14ac:dyDescent="0.2">
      <c r="A8" s="5">
        <v>5</v>
      </c>
      <c r="B8" s="4">
        <v>2.6269905877654681E-2</v>
      </c>
      <c r="C8" s="4">
        <v>3.5895069221405417E-2</v>
      </c>
      <c r="D8" s="4">
        <v>5.2716665699283273E-2</v>
      </c>
      <c r="E8" s="4">
        <v>3.7775112216193105E-2</v>
      </c>
      <c r="F8" s="4">
        <v>4.8247918481347789E-2</v>
      </c>
      <c r="G8" s="4">
        <v>3.4077552857477121E-2</v>
      </c>
      <c r="H8" s="4">
        <v>3.9161010421929272E-2</v>
      </c>
      <c r="I8" s="4">
        <v>5.371325149811472E-2</v>
      </c>
      <c r="J8" s="4">
        <v>4.4221286884084623E-2</v>
      </c>
      <c r="K8" s="4">
        <v>3.5575811234883077E-2</v>
      </c>
      <c r="L8" s="4">
        <v>3.7645199272380137E-2</v>
      </c>
      <c r="M8" s="4">
        <v>3.9502508896920259E-2</v>
      </c>
      <c r="N8" s="4">
        <v>4.6412999914233075E-2</v>
      </c>
      <c r="O8" s="4">
        <v>3.3849850867064005E-2</v>
      </c>
      <c r="P8" s="4">
        <v>4.8296952214823968E-2</v>
      </c>
      <c r="Q8" s="4">
        <v>3.632629005688974E-2</v>
      </c>
      <c r="R8" s="4">
        <v>3.6543901108613074E-2</v>
      </c>
      <c r="S8" s="4">
        <v>4.0949212026526689E-2</v>
      </c>
      <c r="T8" s="4">
        <v>4.1142963792359662E-2</v>
      </c>
      <c r="U8" s="4">
        <v>4.3784985216269952E-2</v>
      </c>
      <c r="V8" s="4">
        <v>4.7599612151240457E-2</v>
      </c>
      <c r="W8" s="4">
        <v>3.9195715766027442E-2</v>
      </c>
      <c r="X8" s="4">
        <v>4.1918129133184538E-2</v>
      </c>
      <c r="Y8" s="4">
        <v>2.3938395614606714E-2</v>
      </c>
      <c r="Z8" s="4">
        <v>3.8338652440936066E-2</v>
      </c>
      <c r="AA8" s="4">
        <v>4.3204452779226667E-2</v>
      </c>
      <c r="AB8" s="4">
        <v>4.4030628962859045E-2</v>
      </c>
      <c r="AC8" s="4">
        <v>4.9184660389532425E-2</v>
      </c>
      <c r="AD8" s="4">
        <v>3.3459101022824324E-2</v>
      </c>
      <c r="AE8" s="4">
        <v>3.7742133464400675E-2</v>
      </c>
      <c r="AF8" s="4">
        <v>3.3596863142811871E-2</v>
      </c>
      <c r="AG8" s="4">
        <v>3.7831626718567338E-2</v>
      </c>
      <c r="AH8" s="4">
        <v>4.554250075575652E-2</v>
      </c>
      <c r="AI8" s="4">
        <v>3.5712283163223842E-2</v>
      </c>
      <c r="AJ8" s="4">
        <v>4.3106821357398836E-2</v>
      </c>
      <c r="AK8" s="4">
        <v>4.7594223857476671E-2</v>
      </c>
      <c r="AL8" s="4">
        <v>5.5981622099226858E-2</v>
      </c>
      <c r="AM8" s="4">
        <v>3.8944076791895016E-2</v>
      </c>
      <c r="AN8" s="4">
        <v>2.6924857744445335E-2</v>
      </c>
      <c r="AO8" s="4">
        <v>3.4012040580163418E-2</v>
      </c>
      <c r="AP8" s="4">
        <v>3.7869620025282817E-2</v>
      </c>
      <c r="AQ8" s="4">
        <v>4.8031076897881553E-2</v>
      </c>
      <c r="AR8" s="4">
        <v>3.7645660157989494E-2</v>
      </c>
      <c r="AS8" s="4">
        <v>4.140340128384834E-2</v>
      </c>
      <c r="AT8" s="4">
        <v>4.0341120771065178E-2</v>
      </c>
      <c r="AU8" s="4">
        <v>3.362642574165893E-2</v>
      </c>
      <c r="AV8" s="4">
        <v>4.1562470873785173E-2</v>
      </c>
      <c r="AW8" s="4">
        <v>3.0628586082754275E-2</v>
      </c>
      <c r="AX8" s="4">
        <v>4.365721451420259E-2</v>
      </c>
      <c r="AY8" s="4">
        <v>3.7787548724402889E-2</v>
      </c>
    </row>
    <row r="9" spans="1:51" x14ac:dyDescent="0.2">
      <c r="A9" s="5">
        <v>6</v>
      </c>
      <c r="B9" s="4">
        <v>3.256260256677003E-2</v>
      </c>
      <c r="C9" s="4">
        <v>3.4431207539692171E-2</v>
      </c>
      <c r="D9" s="4">
        <v>4.8982490651529875E-2</v>
      </c>
      <c r="E9" s="4">
        <v>4.2491423586801851E-2</v>
      </c>
      <c r="F9" s="4">
        <v>4.3928057776459903E-2</v>
      </c>
      <c r="G9" s="4">
        <v>3.6530728055596505E-2</v>
      </c>
      <c r="H9" s="4">
        <v>3.9936858484102486E-2</v>
      </c>
      <c r="I9" s="4">
        <v>5.8070693136005366E-2</v>
      </c>
      <c r="J9" s="4">
        <v>3.8460911910837309E-2</v>
      </c>
      <c r="K9" s="4">
        <v>4.4324720161021937E-2</v>
      </c>
      <c r="L9" s="4">
        <v>3.8997687576129363E-2</v>
      </c>
      <c r="M9" s="4">
        <v>3.8483331292102275E-2</v>
      </c>
      <c r="N9" s="4">
        <v>4.7816448320642038E-2</v>
      </c>
      <c r="O9" s="4">
        <v>3.1965891182660029E-2</v>
      </c>
      <c r="P9" s="4">
        <v>4.4952011393417833E-2</v>
      </c>
      <c r="Q9" s="4">
        <v>3.5916592243841347E-2</v>
      </c>
      <c r="R9" s="4">
        <v>4.1360578943479019E-2</v>
      </c>
      <c r="S9" s="4">
        <v>4.7097438476742665E-2</v>
      </c>
      <c r="T9" s="4">
        <v>3.2731553139466303E-2</v>
      </c>
      <c r="U9" s="4">
        <v>4.2019069047416951E-2</v>
      </c>
      <c r="V9" s="4">
        <v>4.8566961161071918E-2</v>
      </c>
      <c r="W9" s="4">
        <v>3.796955061474637E-2</v>
      </c>
      <c r="X9" s="4">
        <v>4.53904818719012E-2</v>
      </c>
      <c r="Y9" s="4">
        <v>2.5508586858888002E-2</v>
      </c>
      <c r="Z9" s="4">
        <v>3.4776812188595879E-2</v>
      </c>
      <c r="AA9" s="4">
        <v>4.8516862524450338E-2</v>
      </c>
      <c r="AB9" s="4">
        <v>3.8749617121468079E-2</v>
      </c>
      <c r="AC9" s="4">
        <v>4.8481421630439996E-2</v>
      </c>
      <c r="AD9" s="4">
        <v>3.3027635033719083E-2</v>
      </c>
      <c r="AE9" s="4">
        <v>3.5025726056435433E-2</v>
      </c>
      <c r="AF9" s="4">
        <v>3.0467464753026832E-2</v>
      </c>
      <c r="AG9" s="4">
        <v>2.9934423515307271E-2</v>
      </c>
      <c r="AH9" s="4">
        <v>4.8213064885115266E-2</v>
      </c>
      <c r="AI9" s="4">
        <v>3.3136235167760777E-2</v>
      </c>
      <c r="AJ9" s="4">
        <v>4.0992732328426651E-2</v>
      </c>
      <c r="AK9" s="4">
        <v>5.00326499048179E-2</v>
      </c>
      <c r="AL9" s="4">
        <v>5.4626161671851928E-2</v>
      </c>
      <c r="AM9" s="4">
        <v>3.7802750717018087E-2</v>
      </c>
      <c r="AN9" s="4">
        <v>2.3926204771080064E-2</v>
      </c>
      <c r="AO9" s="4">
        <v>3.8252636116580557E-2</v>
      </c>
      <c r="AP9" s="4">
        <v>3.9615351945883989E-2</v>
      </c>
      <c r="AQ9" s="4">
        <v>5.1181036724024777E-2</v>
      </c>
      <c r="AR9" s="4">
        <v>3.6854322342705061E-2</v>
      </c>
      <c r="AS9" s="4">
        <v>4.3374640930470824E-2</v>
      </c>
      <c r="AT9" s="4">
        <v>3.421132273085227E-2</v>
      </c>
      <c r="AU9" s="4">
        <v>3.218325168134361E-2</v>
      </c>
      <c r="AV9" s="4">
        <v>4.2885493267188587E-2</v>
      </c>
      <c r="AW9" s="4">
        <v>3.3163226016531287E-2</v>
      </c>
      <c r="AX9" s="4">
        <v>4.4757790930474856E-2</v>
      </c>
      <c r="AY9" s="4">
        <v>3.2160663423679972E-2</v>
      </c>
    </row>
    <row r="10" spans="1:51" x14ac:dyDescent="0.2">
      <c r="A10" s="5">
        <v>7</v>
      </c>
      <c r="B10" s="4">
        <v>3.5455093315299405E-2</v>
      </c>
      <c r="C10" s="4">
        <v>3.0378003539014476E-2</v>
      </c>
      <c r="D10" s="4">
        <v>4.6366177686639615E-2</v>
      </c>
      <c r="E10" s="4">
        <v>4.1205853780759985E-2</v>
      </c>
      <c r="F10" s="4">
        <v>4.3806080167477557E-2</v>
      </c>
      <c r="G10" s="4">
        <v>3.5565215973595292E-2</v>
      </c>
      <c r="H10" s="4">
        <v>4.0184452823446119E-2</v>
      </c>
      <c r="I10" s="4">
        <v>5.2430996626210855E-2</v>
      </c>
      <c r="J10" s="4">
        <v>3.9115311850172522E-2</v>
      </c>
      <c r="K10" s="4">
        <v>4.7453283464378097E-2</v>
      </c>
      <c r="L10" s="4">
        <v>3.5535424888208204E-2</v>
      </c>
      <c r="M10" s="4">
        <v>3.4966980619950905E-2</v>
      </c>
      <c r="N10" s="4">
        <v>4.4426527176838884E-2</v>
      </c>
      <c r="O10" s="4">
        <v>2.829256334293128E-2</v>
      </c>
      <c r="P10" s="4">
        <v>4.8737621990677757E-2</v>
      </c>
      <c r="Q10" s="4">
        <v>3.6018989409305008E-2</v>
      </c>
      <c r="R10" s="4">
        <v>4.1360815134764112E-2</v>
      </c>
      <c r="S10" s="4">
        <v>4.4512169389993521E-2</v>
      </c>
      <c r="T10" s="4">
        <v>3.2556360196464941E-2</v>
      </c>
      <c r="U10" s="4">
        <v>4.0935568832643397E-2</v>
      </c>
      <c r="V10" s="4">
        <v>4.0871310730750843E-2</v>
      </c>
      <c r="W10" s="4">
        <v>3.7827203612241227E-2</v>
      </c>
      <c r="X10" s="4">
        <v>4.1112987139401966E-2</v>
      </c>
      <c r="Y10" s="4">
        <v>2.9258352465884308E-2</v>
      </c>
      <c r="Z10" s="4">
        <v>3.9176661455405236E-2</v>
      </c>
      <c r="AA10" s="4">
        <v>5.0996512342846322E-2</v>
      </c>
      <c r="AB10" s="4">
        <v>3.9459440501459254E-2</v>
      </c>
      <c r="AC10" s="4">
        <v>4.1121734804427955E-2</v>
      </c>
      <c r="AD10" s="4">
        <v>3.169476638167517E-2</v>
      </c>
      <c r="AE10" s="4">
        <v>3.6971194141830317E-2</v>
      </c>
      <c r="AF10" s="4">
        <v>3.2837257104268096E-2</v>
      </c>
      <c r="AG10" s="4">
        <v>2.8013041751241897E-2</v>
      </c>
      <c r="AH10" s="4">
        <v>4.2800987215979899E-2</v>
      </c>
      <c r="AI10" s="4">
        <v>3.6152925850375044E-2</v>
      </c>
      <c r="AJ10" s="4">
        <v>4.0575674708262496E-2</v>
      </c>
      <c r="AK10" s="4">
        <v>5.0565695153168437E-2</v>
      </c>
      <c r="AL10" s="4">
        <v>5.8573570768810014E-2</v>
      </c>
      <c r="AM10" s="4">
        <v>3.5391686312911945E-2</v>
      </c>
      <c r="AN10" s="4">
        <v>2.2385296152304609E-2</v>
      </c>
      <c r="AO10" s="4">
        <v>3.2452389914424985E-2</v>
      </c>
      <c r="AP10" s="4">
        <v>3.6469566619862864E-2</v>
      </c>
      <c r="AQ10" s="4">
        <v>4.5975855549178712E-2</v>
      </c>
      <c r="AR10" s="4">
        <v>4.0862611501512824E-2</v>
      </c>
      <c r="AS10" s="4">
        <v>4.3547109816176439E-2</v>
      </c>
      <c r="AT10" s="4">
        <v>3.4565115173565211E-2</v>
      </c>
      <c r="AU10" s="4">
        <v>2.9571457131184201E-2</v>
      </c>
      <c r="AV10" s="4">
        <v>4.5313062966254244E-2</v>
      </c>
      <c r="AW10" s="4">
        <v>3.3024717712422429E-2</v>
      </c>
      <c r="AX10" s="4">
        <v>4.3265290738649036E-2</v>
      </c>
      <c r="AY10" s="4">
        <v>3.3514782978626478E-2</v>
      </c>
    </row>
    <row r="11" spans="1:51" x14ac:dyDescent="0.2">
      <c r="A11" s="5">
        <v>8</v>
      </c>
      <c r="B11" s="4">
        <v>3.615392139331116E-2</v>
      </c>
      <c r="C11" s="4">
        <v>2.9033603275364479E-2</v>
      </c>
      <c r="D11" s="4">
        <v>4.567857370323556E-2</v>
      </c>
      <c r="E11" s="4">
        <v>4.1569419152765713E-2</v>
      </c>
      <c r="F11" s="4">
        <v>4.0005524374941641E-2</v>
      </c>
      <c r="G11" s="4">
        <v>3.4305815793011056E-2</v>
      </c>
      <c r="H11" s="4">
        <v>4.0386198456221913E-2</v>
      </c>
      <c r="I11" s="4">
        <v>4.8931301896903437E-2</v>
      </c>
      <c r="J11" s="4">
        <v>3.1920430165279429E-2</v>
      </c>
      <c r="K11" s="4">
        <v>4.5786313819003145E-2</v>
      </c>
      <c r="L11" s="4">
        <v>3.4733652660655832E-2</v>
      </c>
      <c r="M11" s="4">
        <v>3.8050742972801019E-2</v>
      </c>
      <c r="N11" s="4">
        <v>4.2328800156635489E-2</v>
      </c>
      <c r="O11" s="4">
        <v>3.1838765428469029E-2</v>
      </c>
      <c r="P11" s="4">
        <v>4.9989450287194717E-2</v>
      </c>
      <c r="Q11" s="4">
        <v>3.5204084417103335E-2</v>
      </c>
      <c r="R11" s="4">
        <v>4.321868267594009E-2</v>
      </c>
      <c r="S11" s="4">
        <v>3.7477166844499345E-2</v>
      </c>
      <c r="T11" s="4">
        <v>3.3360814327913046E-2</v>
      </c>
      <c r="U11" s="4">
        <v>3.9929893459346104E-2</v>
      </c>
      <c r="V11" s="4">
        <v>4.1718394057827096E-2</v>
      </c>
      <c r="W11" s="4">
        <v>4.0434122070497729E-2</v>
      </c>
      <c r="X11" s="4">
        <v>3.889901153915365E-2</v>
      </c>
      <c r="Y11" s="4">
        <v>2.9906503925586653E-2</v>
      </c>
      <c r="Z11" s="4">
        <v>5.0453201885036478E-2</v>
      </c>
      <c r="AA11" s="4">
        <v>4.7575967963136817E-2</v>
      </c>
      <c r="AB11" s="4">
        <v>3.8357609309067842E-2</v>
      </c>
      <c r="AC11" s="4">
        <v>4.3828791886571079E-2</v>
      </c>
      <c r="AD11" s="4">
        <v>2.9649632874946256E-2</v>
      </c>
      <c r="AE11" s="4">
        <v>3.9362824641681643E-2</v>
      </c>
      <c r="AF11" s="4">
        <v>3.7191190992276739E-2</v>
      </c>
      <c r="AG11" s="4">
        <v>2.6253638859115285E-2</v>
      </c>
      <c r="AH11" s="4">
        <v>5.2285783148849789E-2</v>
      </c>
      <c r="AI11" s="4">
        <v>3.2797378935869238E-2</v>
      </c>
      <c r="AJ11" s="4">
        <v>4.5048863231468957E-2</v>
      </c>
      <c r="AK11" s="4">
        <v>4.4661543514511126E-2</v>
      </c>
      <c r="AL11" s="4">
        <v>5.2437255093289892E-2</v>
      </c>
      <c r="AM11" s="4">
        <v>3.823600793733372E-2</v>
      </c>
      <c r="AN11" s="4">
        <v>2.0958915650663764E-2</v>
      </c>
      <c r="AO11" s="4">
        <v>2.5546320725554468E-2</v>
      </c>
      <c r="AP11" s="4">
        <v>3.8134646348343272E-2</v>
      </c>
      <c r="AQ11" s="4">
        <v>5.082096744162188E-2</v>
      </c>
      <c r="AR11" s="4">
        <v>4.2927649220118387E-2</v>
      </c>
      <c r="AS11" s="4">
        <v>4.3018612746527955E-2</v>
      </c>
      <c r="AT11" s="4">
        <v>3.4884652931246277E-2</v>
      </c>
      <c r="AU11" s="4">
        <v>3.12638179421377E-2</v>
      </c>
      <c r="AV11" s="4">
        <v>5.0099390061328519E-2</v>
      </c>
      <c r="AW11" s="4">
        <v>3.7286900197488961E-2</v>
      </c>
      <c r="AX11" s="4">
        <v>4.442311078456581E-2</v>
      </c>
      <c r="AY11" s="4">
        <v>3.7989807419497736E-2</v>
      </c>
    </row>
    <row r="12" spans="1:51" x14ac:dyDescent="0.2">
      <c r="A12" s="5">
        <v>9</v>
      </c>
      <c r="B12" s="4">
        <v>3.5422735090922454E-2</v>
      </c>
      <c r="C12" s="4">
        <v>2.5634682250732579E-2</v>
      </c>
      <c r="D12" s="4">
        <v>4.6626150751417419E-2</v>
      </c>
      <c r="E12" s="4">
        <v>4.0844584861951874E-2</v>
      </c>
      <c r="F12" s="4">
        <v>4.1237196489654127E-2</v>
      </c>
      <c r="G12" s="4">
        <v>3.8021524227942666E-2</v>
      </c>
      <c r="H12" s="4">
        <v>3.6952826236294145E-2</v>
      </c>
      <c r="I12" s="4">
        <v>4.8080616011704547E-2</v>
      </c>
      <c r="J12" s="4">
        <v>3.3853142892953214E-2</v>
      </c>
      <c r="K12" s="4">
        <v>4.4900440905107669E-2</v>
      </c>
      <c r="L12" s="4">
        <v>3.630172693279797E-2</v>
      </c>
      <c r="M12" s="4">
        <v>3.4825245695507566E-2</v>
      </c>
      <c r="N12" s="4">
        <v>4.8658811327059917E-2</v>
      </c>
      <c r="O12" s="4">
        <v>3.0634474717781586E-2</v>
      </c>
      <c r="P12" s="4">
        <v>5.0757504364397264E-2</v>
      </c>
      <c r="Q12" s="4">
        <v>3.5368597284088768E-2</v>
      </c>
      <c r="R12" s="4">
        <v>4.3592483171243916E-2</v>
      </c>
      <c r="S12" s="4">
        <v>3.5909426496302722E-2</v>
      </c>
      <c r="T12" s="4">
        <v>3.0915280615928818E-2</v>
      </c>
      <c r="U12" s="4">
        <v>3.9050274670549348E-2</v>
      </c>
      <c r="V12" s="4">
        <v>4.1731336152893671E-2</v>
      </c>
      <c r="W12" s="4">
        <v>4.2049878905021376E-2</v>
      </c>
      <c r="X12" s="4">
        <v>4.6046573370328525E-2</v>
      </c>
      <c r="Y12" s="4">
        <v>3.078736873454993E-2</v>
      </c>
      <c r="Z12" s="4">
        <v>5.6631697115257895E-2</v>
      </c>
      <c r="AA12" s="4">
        <v>4.6304215561802871E-2</v>
      </c>
      <c r="AB12" s="4">
        <v>3.7194976553703928E-2</v>
      </c>
      <c r="AC12" s="4">
        <v>4.5358300333390965E-2</v>
      </c>
      <c r="AD12" s="4">
        <v>3.4204833900305917E-2</v>
      </c>
      <c r="AE12" s="4">
        <v>3.315437812719807E-2</v>
      </c>
      <c r="AF12" s="4">
        <v>4.2087246014497905E-2</v>
      </c>
      <c r="AG12" s="4">
        <v>3.3852107889377585E-2</v>
      </c>
      <c r="AH12" s="4">
        <v>5.201203956209581E-2</v>
      </c>
      <c r="AI12" s="4">
        <v>3.6821636012477017E-2</v>
      </c>
      <c r="AJ12" s="4">
        <v>4.5853814776116331E-2</v>
      </c>
      <c r="AK12" s="4">
        <v>4.4189280800056095E-2</v>
      </c>
      <c r="AL12" s="4">
        <v>5.2550484952919453E-2</v>
      </c>
      <c r="AM12" s="4">
        <v>3.7956148654205303E-2</v>
      </c>
      <c r="AN12" s="4">
        <v>1.9253938987156039E-2</v>
      </c>
      <c r="AO12" s="4">
        <v>2.4304371181546231E-2</v>
      </c>
      <c r="AP12" s="4">
        <v>4.0898641262331087E-2</v>
      </c>
      <c r="AQ12" s="4">
        <v>5.0609369201324444E-2</v>
      </c>
      <c r="AR12" s="4">
        <v>4.2633287438504551E-2</v>
      </c>
      <c r="AS12" s="4">
        <v>3.9858896128988547E-2</v>
      </c>
      <c r="AT12" s="4">
        <v>3.9430512925342207E-2</v>
      </c>
      <c r="AU12" s="4">
        <v>2.4999141942652056E-2</v>
      </c>
      <c r="AV12" s="4">
        <v>4.6046290879775811E-2</v>
      </c>
      <c r="AW12" s="4">
        <v>3.8524928331660803E-2</v>
      </c>
      <c r="AX12" s="4">
        <v>4.1466483617795008E-2</v>
      </c>
      <c r="AY12" s="4">
        <v>3.7642033929198619E-2</v>
      </c>
    </row>
    <row r="13" spans="1:51" x14ac:dyDescent="0.2">
      <c r="A13" s="5">
        <v>10</v>
      </c>
      <c r="B13" s="4">
        <v>3.418995779085688E-2</v>
      </c>
      <c r="C13" s="4">
        <v>2.820193249990495E-2</v>
      </c>
      <c r="D13" s="4">
        <v>4.7764170587942363E-2</v>
      </c>
      <c r="E13" s="4">
        <v>4.6533012147461569E-2</v>
      </c>
      <c r="F13" s="4">
        <v>4.1636059093834193E-2</v>
      </c>
      <c r="G13" s="4">
        <v>3.9567534130134148E-2</v>
      </c>
      <c r="H13" s="4">
        <v>4.1354394024129708E-2</v>
      </c>
      <c r="I13" s="4">
        <v>4.5732039334490313E-2</v>
      </c>
      <c r="J13" s="4">
        <v>3.2206835446060317E-2</v>
      </c>
      <c r="K13" s="4">
        <v>5.1238983535452171E-2</v>
      </c>
      <c r="L13" s="4">
        <v>3.3814709075239084E-2</v>
      </c>
      <c r="M13" s="4">
        <v>3.8594913740232363E-2</v>
      </c>
      <c r="N13" s="4">
        <v>3.8974811394032541E-2</v>
      </c>
      <c r="O13" s="4">
        <v>3.2966179880774479E-2</v>
      </c>
      <c r="P13" s="4">
        <v>5.7343379599916172E-2</v>
      </c>
      <c r="Q13" s="4">
        <v>3.7836488981845488E-2</v>
      </c>
      <c r="R13" s="4">
        <v>4.2260962666392829E-2</v>
      </c>
      <c r="S13" s="4">
        <v>3.7775351726152269E-2</v>
      </c>
      <c r="T13" s="4">
        <v>3.5087318458171382E-2</v>
      </c>
      <c r="U13" s="4">
        <v>3.0899966372002621E-2</v>
      </c>
      <c r="V13" s="4">
        <v>4.3681726528932117E-2</v>
      </c>
      <c r="W13" s="4">
        <v>3.6005884746120806E-2</v>
      </c>
      <c r="X13" s="4">
        <v>4.6144463964721563E-2</v>
      </c>
      <c r="Y13" s="4">
        <v>3.267975009772206E-2</v>
      </c>
      <c r="Z13" s="4">
        <v>5.5972274923197937E-2</v>
      </c>
      <c r="AA13" s="4">
        <v>4.9210533200421284E-2</v>
      </c>
      <c r="AB13" s="4">
        <v>4.0734721635386911E-2</v>
      </c>
      <c r="AC13" s="4">
        <v>4.3042192521827234E-2</v>
      </c>
      <c r="AD13" s="4">
        <v>4.1738682766637114E-2</v>
      </c>
      <c r="AE13" s="4">
        <v>3.5156855732578478E-2</v>
      </c>
      <c r="AF13" s="4">
        <v>4.6826375276161396E-2</v>
      </c>
      <c r="AG13" s="4">
        <v>3.1460582550077609E-2</v>
      </c>
      <c r="AH13" s="4">
        <v>5.0190831293912816E-2</v>
      </c>
      <c r="AI13" s="4">
        <v>3.706016257898137E-2</v>
      </c>
      <c r="AJ13" s="4">
        <v>3.8780614028195944E-2</v>
      </c>
      <c r="AK13" s="4">
        <v>4.0621382349003275E-2</v>
      </c>
      <c r="AL13" s="4">
        <v>6.1423701133123045E-2</v>
      </c>
      <c r="AM13" s="4">
        <v>4.1232293276409128E-2</v>
      </c>
      <c r="AN13" s="4">
        <v>1.9809632294981075E-2</v>
      </c>
      <c r="AO13" s="4">
        <v>2.3820548891549467E-2</v>
      </c>
      <c r="AP13" s="4">
        <v>4.0711983313690046E-2</v>
      </c>
      <c r="AQ13" s="4">
        <v>5.1744139870535923E-2</v>
      </c>
      <c r="AR13" s="4">
        <v>4.8534559966314242E-2</v>
      </c>
      <c r="AS13" s="4">
        <v>4.1636564253936491E-2</v>
      </c>
      <c r="AT13" s="4">
        <v>3.4763934178019901E-2</v>
      </c>
      <c r="AU13" s="4">
        <v>2.4733289777869451E-2</v>
      </c>
      <c r="AV13" s="4">
        <v>4.9343033150336779E-2</v>
      </c>
      <c r="AW13" s="4">
        <v>3.8426380754977285E-2</v>
      </c>
      <c r="AX13" s="4">
        <v>4.9844099219866086E-2</v>
      </c>
      <c r="AY13" s="4">
        <v>3.3921934570711534E-2</v>
      </c>
    </row>
    <row r="14" spans="1:51" x14ac:dyDescent="0.2">
      <c r="A14" s="5">
        <v>11</v>
      </c>
      <c r="B14" s="4">
        <v>3.2146135121625265E-2</v>
      </c>
      <c r="C14" s="4">
        <v>2.6242812092498888E-2</v>
      </c>
      <c r="D14" s="4">
        <v>5.0203219629915051E-2</v>
      </c>
      <c r="E14" s="4">
        <v>5.2103384692475413E-2</v>
      </c>
      <c r="F14" s="4">
        <v>4.0755509455870212E-2</v>
      </c>
      <c r="G14" s="4">
        <v>3.5166974242890767E-2</v>
      </c>
      <c r="H14" s="4">
        <v>3.802567066222598E-2</v>
      </c>
      <c r="I14" s="4">
        <v>4.5315577498471885E-2</v>
      </c>
      <c r="J14" s="4">
        <v>3.0015743555060159E-2</v>
      </c>
      <c r="K14" s="4">
        <v>6.1860036043851443E-2</v>
      </c>
      <c r="L14" s="4">
        <v>2.8970374353040625E-2</v>
      </c>
      <c r="M14" s="4">
        <v>3.5973971590406773E-2</v>
      </c>
      <c r="N14" s="4">
        <v>4.4813695187896227E-2</v>
      </c>
      <c r="O14" s="4">
        <v>3.4234795029230818E-2</v>
      </c>
      <c r="P14" s="4">
        <v>5.6689981579852902E-2</v>
      </c>
      <c r="Q14" s="4">
        <v>3.9994099660254398E-2</v>
      </c>
      <c r="R14" s="4">
        <v>4.2722350587915903E-2</v>
      </c>
      <c r="S14" s="4">
        <v>4.0311574977029641E-2</v>
      </c>
      <c r="T14" s="4">
        <v>3.2928544658190347E-2</v>
      </c>
      <c r="U14" s="4">
        <v>3.1727471816231242E-2</v>
      </c>
      <c r="V14" s="4">
        <v>4.4449556930702301E-2</v>
      </c>
      <c r="W14" s="4">
        <v>3.7169194173794814E-2</v>
      </c>
      <c r="X14" s="4">
        <v>4.6785374514977919E-2</v>
      </c>
      <c r="Y14" s="4">
        <v>2.8488968962185411E-2</v>
      </c>
      <c r="Z14" s="4">
        <v>4.9306121151680628E-2</v>
      </c>
      <c r="AA14" s="4">
        <v>4.8750351861903102E-2</v>
      </c>
      <c r="AB14" s="4">
        <v>3.8305762830470699E-2</v>
      </c>
      <c r="AC14" s="4">
        <v>4.6527498957632987E-2</v>
      </c>
      <c r="AD14" s="4">
        <v>3.8644460735839811E-2</v>
      </c>
      <c r="AE14" s="4">
        <v>3.7058706507335955E-2</v>
      </c>
      <c r="AF14" s="4">
        <v>3.5741728258922328E-2</v>
      </c>
      <c r="AG14" s="4">
        <v>3.2279091041552029E-2</v>
      </c>
      <c r="AH14" s="4">
        <v>5.1845879379630123E-2</v>
      </c>
      <c r="AI14" s="4">
        <v>3.6761224153981732E-2</v>
      </c>
      <c r="AJ14" s="4">
        <v>3.7859311171687018E-2</v>
      </c>
      <c r="AK14" s="4">
        <v>3.8464509007154625E-2</v>
      </c>
      <c r="AL14" s="4">
        <v>6.7817537705293904E-2</v>
      </c>
      <c r="AM14" s="4">
        <v>4.4276565275536924E-2</v>
      </c>
      <c r="AN14" s="4">
        <v>2.0190313354208997E-2</v>
      </c>
      <c r="AO14" s="4">
        <v>2.5441019065843371E-2</v>
      </c>
      <c r="AP14" s="4">
        <v>4.2887964071846162E-2</v>
      </c>
      <c r="AQ14" s="4">
        <v>5.8315093908079325E-2</v>
      </c>
      <c r="AR14" s="4">
        <v>4.3850702478208069E-2</v>
      </c>
      <c r="AS14" s="4">
        <v>4.0137810420614158E-2</v>
      </c>
      <c r="AT14" s="4">
        <v>3.1768232586746291E-2</v>
      </c>
      <c r="AU14" s="4">
        <v>2.2517020871304166E-2</v>
      </c>
      <c r="AV14" s="4">
        <v>5.0745846148872231E-2</v>
      </c>
      <c r="AW14" s="4">
        <v>3.5176925470664804E-2</v>
      </c>
      <c r="AX14" s="4">
        <v>4.8736164002480209E-2</v>
      </c>
      <c r="AY14" s="4">
        <v>3.7483200662151377E-2</v>
      </c>
    </row>
    <row r="15" spans="1:51" x14ac:dyDescent="0.2">
      <c r="A15" s="5">
        <v>12</v>
      </c>
      <c r="B15" s="4">
        <v>3.9260774342249428E-2</v>
      </c>
      <c r="C15" s="4">
        <v>2.3164526888752861E-2</v>
      </c>
      <c r="D15" s="4">
        <v>4.573477225195656E-2</v>
      </c>
      <c r="E15" s="4">
        <v>5.4260731375588386E-2</v>
      </c>
      <c r="F15" s="4">
        <v>4.3781025176534982E-2</v>
      </c>
      <c r="G15" s="4">
        <v>3.3391491030623922E-2</v>
      </c>
      <c r="H15" s="4">
        <v>4.0467703218610061E-2</v>
      </c>
      <c r="I15" s="4">
        <v>4.4030165905095515E-2</v>
      </c>
      <c r="J15" s="4">
        <v>2.8896829724482657E-2</v>
      </c>
      <c r="K15" s="4">
        <v>6.1113733983665534E-2</v>
      </c>
      <c r="L15" s="4">
        <v>2.9812218492033235E-2</v>
      </c>
      <c r="M15" s="4">
        <v>3.7686766607147183E-2</v>
      </c>
      <c r="N15" s="4">
        <v>5.1377630239438143E-2</v>
      </c>
      <c r="O15" s="4">
        <v>3.3336826530898915E-2</v>
      </c>
      <c r="P15" s="4">
        <v>5.7238155096065974E-2</v>
      </c>
      <c r="Q15" s="4">
        <v>3.7421210409865228E-2</v>
      </c>
      <c r="R15" s="4">
        <v>4.1110487042595852E-2</v>
      </c>
      <c r="S15" s="4">
        <v>3.7930198816534949E-2</v>
      </c>
      <c r="T15" s="4">
        <v>3.3723358792849809E-2</v>
      </c>
      <c r="U15" s="4">
        <v>3.4371855218436817E-2</v>
      </c>
      <c r="V15" s="4">
        <v>4.9408650579846419E-2</v>
      </c>
      <c r="W15" s="4">
        <v>3.4895434616068713E-2</v>
      </c>
      <c r="X15" s="4">
        <v>5.2394678245991186E-2</v>
      </c>
      <c r="Y15" s="4">
        <v>2.9558741479187904E-2</v>
      </c>
      <c r="Z15" s="4">
        <v>4.6594736165022584E-2</v>
      </c>
      <c r="AA15" s="4">
        <v>4.1577735698316173E-2</v>
      </c>
      <c r="AB15" s="4">
        <v>4.0722442630775943E-2</v>
      </c>
      <c r="AC15" s="4">
        <v>3.9038714161385699E-2</v>
      </c>
      <c r="AD15" s="4">
        <v>4.0826968577447408E-2</v>
      </c>
      <c r="AE15" s="4">
        <v>3.3274976380629713E-2</v>
      </c>
      <c r="AF15" s="4">
        <v>3.0917611600851585E-2</v>
      </c>
      <c r="AG15" s="4">
        <v>3.2791158231522781E-2</v>
      </c>
      <c r="AH15" s="4">
        <v>5.2270888809211456E-2</v>
      </c>
      <c r="AI15" s="4">
        <v>3.6388747235825164E-2</v>
      </c>
      <c r="AJ15" s="4">
        <v>3.6045041103818141E-2</v>
      </c>
      <c r="AK15" s="4">
        <v>3.9269709538196362E-2</v>
      </c>
      <c r="AL15" s="4">
        <v>6.8833691124831592E-2</v>
      </c>
      <c r="AM15" s="4">
        <v>4.4687646738647724E-2</v>
      </c>
      <c r="AN15" s="4">
        <v>2.2661404767413001E-2</v>
      </c>
      <c r="AO15" s="4">
        <v>2.6984403501342215E-2</v>
      </c>
      <c r="AP15" s="4">
        <v>4.5048864113358698E-2</v>
      </c>
      <c r="AQ15" s="4">
        <v>5.8319604688854623E-2</v>
      </c>
      <c r="AR15" s="4">
        <v>4.2512858611428929E-2</v>
      </c>
      <c r="AS15" s="4">
        <v>4.0367336296399214E-2</v>
      </c>
      <c r="AT15" s="4">
        <v>3.4745296146246114E-2</v>
      </c>
      <c r="AU15" s="4">
        <v>2.0030126669518776E-2</v>
      </c>
      <c r="AV15" s="4">
        <v>5.1110664723777101E-2</v>
      </c>
      <c r="AW15" s="4">
        <v>3.4856000734140781E-2</v>
      </c>
      <c r="AX15" s="4">
        <v>5.1539198525987963E-2</v>
      </c>
      <c r="AY15" s="4">
        <v>3.6654569365390105E-2</v>
      </c>
    </row>
    <row r="16" spans="1:51" x14ac:dyDescent="0.2">
      <c r="A16" s="5">
        <v>13</v>
      </c>
      <c r="B16" s="4">
        <v>3.8577929858056074E-2</v>
      </c>
      <c r="C16" s="4">
        <v>2.5300778769959963E-2</v>
      </c>
      <c r="D16" s="4">
        <v>4.2163040500328951E-2</v>
      </c>
      <c r="E16" s="4">
        <v>4.8874952398353523E-2</v>
      </c>
      <c r="F16" s="4">
        <v>3.6846018175805677E-2</v>
      </c>
      <c r="G16" s="4">
        <v>3.7030538608575692E-2</v>
      </c>
      <c r="H16" s="4">
        <v>3.9897477459645961E-2</v>
      </c>
      <c r="I16" s="4">
        <v>3.9185307017012928E-2</v>
      </c>
      <c r="J16" s="4">
        <v>3.0868960567333823E-2</v>
      </c>
      <c r="K16" s="4">
        <v>5.9072352911876361E-2</v>
      </c>
      <c r="L16" s="4">
        <v>3.4838152582928675E-2</v>
      </c>
      <c r="M16" s="4">
        <v>3.6771486081266493E-2</v>
      </c>
      <c r="N16" s="4">
        <v>5.1585540131894474E-2</v>
      </c>
      <c r="O16" s="4">
        <v>3.2325533454199244E-2</v>
      </c>
      <c r="P16" s="4">
        <v>6.2445039858149629E-2</v>
      </c>
      <c r="Q16" s="4">
        <v>3.8114348154476965E-2</v>
      </c>
      <c r="R16" s="4">
        <v>3.6695087928473376E-2</v>
      </c>
      <c r="S16" s="4">
        <v>4.2038530315968686E-2</v>
      </c>
      <c r="T16" s="4">
        <v>3.5097306470121617E-2</v>
      </c>
      <c r="U16" s="4">
        <v>3.2262424535167193E-2</v>
      </c>
      <c r="V16" s="4">
        <v>4.9688390305699839E-2</v>
      </c>
      <c r="W16" s="4">
        <v>3.1687922802480326E-2</v>
      </c>
      <c r="X16" s="4">
        <v>4.634942851944665E-2</v>
      </c>
      <c r="Y16" s="4">
        <v>3.0268884409721204E-2</v>
      </c>
      <c r="Z16" s="4">
        <v>4.5554440541862813E-2</v>
      </c>
      <c r="AA16" s="4">
        <v>3.799426285982526E-2</v>
      </c>
      <c r="AB16" s="4">
        <v>4.3075772406292234E-2</v>
      </c>
      <c r="AC16" s="4">
        <v>4.1009885917604613E-2</v>
      </c>
      <c r="AD16" s="4">
        <v>3.6221392974182184E-2</v>
      </c>
      <c r="AE16" s="4">
        <v>2.8826034487234552E-2</v>
      </c>
      <c r="AF16" s="4">
        <v>2.7718462405506669E-2</v>
      </c>
      <c r="AG16" s="4">
        <v>3.766566914309951E-2</v>
      </c>
      <c r="AH16" s="4">
        <v>5.1665997997743893E-2</v>
      </c>
      <c r="AI16" s="4">
        <v>3.2197870969404095E-2</v>
      </c>
      <c r="AJ16" s="4">
        <v>3.5856057910688785E-2</v>
      </c>
      <c r="AK16" s="4">
        <v>4.135684483480017E-2</v>
      </c>
      <c r="AL16" s="4">
        <v>6.5401871775498263E-2</v>
      </c>
      <c r="AM16" s="4">
        <v>3.8067217271826645E-2</v>
      </c>
      <c r="AN16" s="4">
        <v>2.2597837922527977E-2</v>
      </c>
      <c r="AO16" s="4">
        <v>2.658279728396843E-2</v>
      </c>
      <c r="AP16" s="4">
        <v>4.9373372453600683E-2</v>
      </c>
      <c r="AQ16" s="4">
        <v>5.5306266083682554E-2</v>
      </c>
      <c r="AR16" s="4">
        <v>5.067462880327285E-2</v>
      </c>
      <c r="AS16" s="4">
        <v>4.2141960732528218E-2</v>
      </c>
      <c r="AT16" s="4">
        <v>2.978201746948728E-2</v>
      </c>
      <c r="AU16" s="4">
        <v>2.2868534767702699E-2</v>
      </c>
      <c r="AV16" s="4">
        <v>5.3231059797074577E-2</v>
      </c>
      <c r="AW16" s="4">
        <v>3.7606409171110862E-2</v>
      </c>
      <c r="AX16" s="4">
        <v>5.313403934249681E-2</v>
      </c>
      <c r="AY16" s="4">
        <v>4.3038921936634764E-2</v>
      </c>
    </row>
    <row r="17" spans="1:51" x14ac:dyDescent="0.2">
      <c r="A17" s="5">
        <v>14</v>
      </c>
      <c r="B17" s="4">
        <v>3.7865215282652485E-2</v>
      </c>
      <c r="C17" s="4">
        <v>2.1753355492637905E-2</v>
      </c>
      <c r="D17" s="4">
        <v>3.5609705946663246E-2</v>
      </c>
      <c r="E17" s="4">
        <v>5.0220222023023557E-2</v>
      </c>
      <c r="F17" s="4">
        <v>3.4187231694886626E-2</v>
      </c>
      <c r="G17" s="4">
        <v>3.6700786340598451E-2</v>
      </c>
      <c r="H17" s="4">
        <v>3.4630808104845402E-2</v>
      </c>
      <c r="I17" s="4">
        <v>3.4134589626679292E-2</v>
      </c>
      <c r="J17" s="4">
        <v>3.0710987206188794E-2</v>
      </c>
      <c r="K17" s="4">
        <v>5.9814948345434577E-2</v>
      </c>
      <c r="L17" s="4">
        <v>3.2038910639566529E-2</v>
      </c>
      <c r="M17" s="4">
        <v>4.0489794746311834E-2</v>
      </c>
      <c r="N17" s="4">
        <v>5.1412469659241247E-2</v>
      </c>
      <c r="O17" s="4">
        <v>3.3203486425557774E-2</v>
      </c>
      <c r="P17" s="4">
        <v>6.2358366428655783E-2</v>
      </c>
      <c r="Q17" s="4">
        <v>3.8610377322949398E-2</v>
      </c>
      <c r="R17" s="4">
        <v>3.5114221939630583E-2</v>
      </c>
      <c r="S17" s="4">
        <v>4.5277802026666654E-2</v>
      </c>
      <c r="T17" s="4">
        <v>3.437843682128866E-2</v>
      </c>
      <c r="U17" s="4">
        <v>3.2586993241590728E-2</v>
      </c>
      <c r="V17" s="4">
        <v>5.4447684521410369E-2</v>
      </c>
      <c r="W17" s="4">
        <v>3.3594692548708741E-2</v>
      </c>
      <c r="X17" s="4">
        <v>4.7055670119152085E-2</v>
      </c>
      <c r="Y17" s="4">
        <v>3.2561598260407873E-2</v>
      </c>
      <c r="Z17" s="4">
        <v>4.465759602984945E-2</v>
      </c>
      <c r="AA17" s="4">
        <v>3.99932462123581E-2</v>
      </c>
      <c r="AB17" s="4">
        <v>4.2745280386128681E-2</v>
      </c>
      <c r="AC17" s="4">
        <v>3.9145391900724226E-2</v>
      </c>
      <c r="AD17" s="4">
        <v>3.0728745868991637E-2</v>
      </c>
      <c r="AE17" s="4">
        <v>2.5489612202301164E-2</v>
      </c>
      <c r="AF17" s="4">
        <v>2.7397910356347716E-2</v>
      </c>
      <c r="AG17" s="4">
        <v>4.3970335046462895E-2</v>
      </c>
      <c r="AH17" s="4">
        <v>5.396287635268044E-2</v>
      </c>
      <c r="AI17" s="4">
        <v>3.2167280793335001E-2</v>
      </c>
      <c r="AJ17" s="4">
        <v>3.223029999675979E-2</v>
      </c>
      <c r="AK17" s="4">
        <v>4.0976752357129088E-2</v>
      </c>
      <c r="AL17" s="4">
        <v>6.7125242509976812E-2</v>
      </c>
      <c r="AM17" s="4">
        <v>4.4216657503567319E-2</v>
      </c>
      <c r="AN17" s="4">
        <v>1.8985339097552789E-2</v>
      </c>
      <c r="AO17" s="4">
        <v>2.7233165434309089E-2</v>
      </c>
      <c r="AP17" s="4">
        <v>4.607700164422298E-2</v>
      </c>
      <c r="AQ17" s="4">
        <v>5.8455170284819155E-2</v>
      </c>
      <c r="AR17" s="4">
        <v>5.2712535665712629E-2</v>
      </c>
      <c r="AS17" s="4">
        <v>4.0337580459650239E-2</v>
      </c>
      <c r="AT17" s="4">
        <v>2.9777722091212155E-2</v>
      </c>
      <c r="AU17" s="4">
        <v>2.0601274406799069E-2</v>
      </c>
      <c r="AV17" s="4">
        <v>5.2319731367197905E-2</v>
      </c>
      <c r="AW17" s="4">
        <v>3.6413047773481734E-2</v>
      </c>
      <c r="AX17" s="4">
        <v>5.5056601591461835E-2</v>
      </c>
      <c r="AY17" s="4">
        <v>4.6253705721965736E-2</v>
      </c>
    </row>
    <row r="18" spans="1:51" x14ac:dyDescent="0.2">
      <c r="A18" s="5">
        <v>15</v>
      </c>
      <c r="B18" s="4">
        <v>3.7874638097358512E-2</v>
      </c>
      <c r="C18" s="4">
        <v>2.3791844593583123E-2</v>
      </c>
      <c r="D18" s="4">
        <v>3.456050550122549E-2</v>
      </c>
      <c r="E18" s="4">
        <v>5.2799296025822562E-2</v>
      </c>
      <c r="F18" s="4">
        <v>3.2397137207046928E-2</v>
      </c>
      <c r="G18" s="4">
        <v>3.7184119948983518E-2</v>
      </c>
      <c r="H18" s="4">
        <v>4.1096049524030266E-2</v>
      </c>
      <c r="I18" s="4">
        <v>3.4407866541260435E-2</v>
      </c>
      <c r="J18" s="4">
        <v>2.6459078826590855E-2</v>
      </c>
      <c r="K18" s="4">
        <v>6.3364537005912713E-2</v>
      </c>
      <c r="L18" s="4">
        <v>3.5636680349152371E-2</v>
      </c>
      <c r="M18" s="4">
        <v>3.7903333915909311E-2</v>
      </c>
      <c r="N18" s="4">
        <v>5.513128885952643E-2</v>
      </c>
      <c r="O18" s="4">
        <v>3.9186709832325306E-2</v>
      </c>
      <c r="P18" s="4">
        <v>5.8417388057420777E-2</v>
      </c>
      <c r="Q18" s="4">
        <v>3.7428815866307287E-2</v>
      </c>
      <c r="R18" s="4">
        <v>3.5678583968435512E-2</v>
      </c>
      <c r="S18" s="4">
        <v>4.7205983414451994E-2</v>
      </c>
      <c r="T18" s="4">
        <v>3.8554502771250138E-2</v>
      </c>
      <c r="U18" s="4">
        <v>3.5811935297816594E-2</v>
      </c>
      <c r="V18" s="4">
        <v>5.9266972319442141E-2</v>
      </c>
      <c r="W18" s="4">
        <v>3.2667009768877618E-2</v>
      </c>
      <c r="X18" s="4">
        <v>4.7218204298685819E-2</v>
      </c>
      <c r="Y18" s="4">
        <v>3.3019266353737149E-2</v>
      </c>
      <c r="Z18" s="4">
        <v>4.4970348373673266E-2</v>
      </c>
      <c r="AA18" s="4">
        <v>4.2051087186723561E-2</v>
      </c>
      <c r="AB18" s="4">
        <v>4.4071094095563396E-2</v>
      </c>
      <c r="AC18" s="4">
        <v>4.3655623704518629E-2</v>
      </c>
      <c r="AD18" s="4">
        <v>2.8362153670745568E-2</v>
      </c>
      <c r="AE18" s="4">
        <v>2.3818066445135379E-2</v>
      </c>
      <c r="AF18" s="4">
        <v>3.0233065128451371E-2</v>
      </c>
      <c r="AG18" s="4">
        <v>4.2563008618952403E-2</v>
      </c>
      <c r="AH18" s="4">
        <v>5.2807151299936281E-2</v>
      </c>
      <c r="AI18" s="4">
        <v>2.811215725903253E-2</v>
      </c>
      <c r="AJ18" s="4">
        <v>3.4136970335998336E-2</v>
      </c>
      <c r="AK18" s="4">
        <v>4.21167193009611E-2</v>
      </c>
      <c r="AL18" s="4">
        <v>7.3018334061010701E-2</v>
      </c>
      <c r="AM18" s="4">
        <v>4.8530516811727702E-2</v>
      </c>
      <c r="AN18" s="4">
        <v>2.1436661862794838E-2</v>
      </c>
      <c r="AO18" s="4">
        <v>2.7046898992248315E-2</v>
      </c>
      <c r="AP18" s="4">
        <v>4.1232976814752381E-2</v>
      </c>
      <c r="AQ18" s="4">
        <v>6.1573713069415351E-2</v>
      </c>
      <c r="AR18" s="4">
        <v>5.3560668048434838E-2</v>
      </c>
      <c r="AS18" s="4">
        <v>3.8014862773814627E-2</v>
      </c>
      <c r="AT18" s="4">
        <v>2.8517420045338963E-2</v>
      </c>
      <c r="AU18" s="4">
        <v>1.9138156615401861E-2</v>
      </c>
      <c r="AV18" s="4">
        <v>4.901647316248002E-2</v>
      </c>
      <c r="AW18" s="4">
        <v>3.3666985505667081E-2</v>
      </c>
      <c r="AX18" s="4">
        <v>5.592619943116877E-2</v>
      </c>
      <c r="AY18" s="4">
        <v>4.6175793671699508E-2</v>
      </c>
    </row>
    <row r="19" spans="1:51" x14ac:dyDescent="0.2">
      <c r="A19" s="5">
        <v>16</v>
      </c>
      <c r="B19" s="4">
        <v>3.4740070196410289E-2</v>
      </c>
      <c r="C19" s="4">
        <v>2.4127365550685235E-2</v>
      </c>
      <c r="D19" s="4">
        <v>3.5643662478421594E-2</v>
      </c>
      <c r="E19" s="4">
        <v>5.2561865187285173E-2</v>
      </c>
      <c r="F19" s="4">
        <v>3.4339790441538023E-2</v>
      </c>
      <c r="G19" s="4">
        <v>3.4589331962321841E-2</v>
      </c>
      <c r="H19" s="4">
        <v>4.3063449830888348E-2</v>
      </c>
      <c r="I19" s="4">
        <v>3.4273465648129366E-2</v>
      </c>
      <c r="J19" s="4">
        <v>2.6941760319323788E-2</v>
      </c>
      <c r="K19" s="4">
        <v>6.1409565353580407E-2</v>
      </c>
      <c r="L19" s="4">
        <v>3.257032213020785E-2</v>
      </c>
      <c r="M19" s="4">
        <v>3.5704206527729022E-2</v>
      </c>
      <c r="N19" s="4">
        <v>5.2095974506843348E-2</v>
      </c>
      <c r="O19" s="4">
        <v>3.8828887702328639E-2</v>
      </c>
      <c r="P19" s="4">
        <v>6.2311986040055278E-2</v>
      </c>
      <c r="Q19" s="4">
        <v>3.7515687092044302E-2</v>
      </c>
      <c r="R19" s="4">
        <v>3.1204800245536998E-2</v>
      </c>
      <c r="S19" s="4">
        <v>3.8869382775800938E-2</v>
      </c>
      <c r="T19" s="4">
        <v>3.4829191823332856E-2</v>
      </c>
      <c r="U19" s="4">
        <v>4.5109057845047748E-2</v>
      </c>
      <c r="V19" s="4">
        <v>5.2304948232639148E-2</v>
      </c>
      <c r="W19" s="4">
        <v>3.6980880272842381E-2</v>
      </c>
      <c r="X19" s="4">
        <v>4.4425955531623387E-2</v>
      </c>
      <c r="Y19" s="4">
        <v>2.5098268692594364E-2</v>
      </c>
      <c r="Z19" s="4">
        <v>4.7444880654835007E-2</v>
      </c>
      <c r="AA19" s="4">
        <v>3.9855099439155293E-2</v>
      </c>
      <c r="AB19" s="4">
        <v>4.6149915200511683E-2</v>
      </c>
      <c r="AC19" s="4">
        <v>4.2360822407321523E-2</v>
      </c>
      <c r="AD19" s="4">
        <v>3.5114419547928814E-2</v>
      </c>
      <c r="AE19" s="4">
        <v>2.6138231337666584E-2</v>
      </c>
      <c r="AF19" s="4">
        <v>3.0807876637147121E-2</v>
      </c>
      <c r="AG19" s="4">
        <v>4.6835697283577719E-2</v>
      </c>
      <c r="AH19" s="4">
        <v>5.4083897566363233E-2</v>
      </c>
      <c r="AI19" s="4">
        <v>2.7447195376910996E-2</v>
      </c>
      <c r="AJ19" s="4">
        <v>3.619383620754929E-2</v>
      </c>
      <c r="AK19" s="4">
        <v>4.6936787335322097E-2</v>
      </c>
      <c r="AL19" s="4">
        <v>7.7020435500627094E-2</v>
      </c>
      <c r="AM19" s="4">
        <v>5.3938244037092055E-2</v>
      </c>
      <c r="AN19" s="4">
        <v>2.077186985240026E-2</v>
      </c>
      <c r="AO19" s="4">
        <v>2.9186626576737928E-2</v>
      </c>
      <c r="AP19" s="4">
        <v>4.7276243261799342E-2</v>
      </c>
      <c r="AQ19" s="4">
        <v>6.3221437669025382E-2</v>
      </c>
      <c r="AR19" s="4">
        <v>5.3747409565532554E-2</v>
      </c>
      <c r="AS19" s="4">
        <v>3.8676877946875542E-2</v>
      </c>
      <c r="AT19" s="4">
        <v>3.3343643289654418E-2</v>
      </c>
      <c r="AU19" s="4">
        <v>1.5858398377745435E-2</v>
      </c>
      <c r="AV19" s="4">
        <v>4.9195974296926993E-2</v>
      </c>
      <c r="AW19" s="4">
        <v>3.098467690976844E-2</v>
      </c>
      <c r="AX19" s="4">
        <v>5.9063243129878158E-2</v>
      </c>
      <c r="AY19" s="4">
        <v>4.6524161332115642E-2</v>
      </c>
    </row>
    <row r="20" spans="1:51" x14ac:dyDescent="0.2">
      <c r="A20" s="5">
        <v>17</v>
      </c>
      <c r="B20" s="4">
        <v>3.5462381031597788E-2</v>
      </c>
      <c r="C20" s="4">
        <v>2.3602379961726792E-2</v>
      </c>
      <c r="D20" s="4">
        <v>3.6125338522203308E-2</v>
      </c>
      <c r="E20" s="4">
        <v>5.3127032019945182E-2</v>
      </c>
      <c r="F20" s="4">
        <v>3.8310641509645471E-2</v>
      </c>
      <c r="G20" s="4">
        <v>3.3950727582179638E-2</v>
      </c>
      <c r="H20" s="4">
        <v>3.6655491976711689E-2</v>
      </c>
      <c r="I20" s="4">
        <v>3.6185231115942705E-2</v>
      </c>
      <c r="J20" s="4">
        <v>2.4289288097427152E-2</v>
      </c>
      <c r="K20" s="4">
        <v>5.5018407813328327E-2</v>
      </c>
      <c r="L20" s="4">
        <v>3.6950235294614234E-2</v>
      </c>
      <c r="M20" s="4">
        <v>3.7928046769640782E-2</v>
      </c>
      <c r="N20" s="4">
        <v>4.5908144539885135E-2</v>
      </c>
      <c r="O20" s="4">
        <v>3.672089592138128E-2</v>
      </c>
      <c r="P20" s="4">
        <v>6.83040340503277E-2</v>
      </c>
      <c r="Q20" s="4">
        <v>3.8043667493655939E-2</v>
      </c>
      <c r="R20" s="4">
        <v>2.9800994998447444E-2</v>
      </c>
      <c r="S20" s="4">
        <v>3.6287242859422295E-2</v>
      </c>
      <c r="T20" s="4">
        <v>3.4891271728027001E-2</v>
      </c>
      <c r="U20" s="4">
        <v>4.7087664328763677E-2</v>
      </c>
      <c r="V20" s="4">
        <v>4.6350360747772171E-2</v>
      </c>
      <c r="W20" s="4">
        <v>4.3078947818920965E-2</v>
      </c>
      <c r="X20" s="4">
        <v>4.5619041418579608E-2</v>
      </c>
      <c r="Y20" s="4">
        <v>2.4950764174956914E-2</v>
      </c>
      <c r="Z20" s="4">
        <v>4.5250423640817383E-2</v>
      </c>
      <c r="AA20" s="4">
        <v>4.176947465744598E-2</v>
      </c>
      <c r="AB20" s="4">
        <v>4.2439623707042802E-2</v>
      </c>
      <c r="AC20" s="4">
        <v>3.941672969495677E-2</v>
      </c>
      <c r="AD20" s="4">
        <v>3.0712507477741173E-2</v>
      </c>
      <c r="AE20" s="4">
        <v>2.8157269675733874E-2</v>
      </c>
      <c r="AF20" s="4">
        <v>3.0864655568151177E-2</v>
      </c>
      <c r="AG20" s="4">
        <v>5.0650782274682837E-2</v>
      </c>
      <c r="AH20" s="4">
        <v>5.5440686112119872E-2</v>
      </c>
      <c r="AI20" s="4">
        <v>3.3057852795808085E-2</v>
      </c>
      <c r="AJ20" s="4">
        <v>3.8392298799328949E-2</v>
      </c>
      <c r="AK20" s="4">
        <v>4.6863946184638079E-2</v>
      </c>
      <c r="AL20" s="4">
        <v>7.6382602838568459E-2</v>
      </c>
      <c r="AM20" s="4">
        <v>5.8743551233630689E-2</v>
      </c>
      <c r="AN20" s="4">
        <v>2.0828911052494341E-2</v>
      </c>
      <c r="AO20" s="4">
        <v>2.6935027621444181E-2</v>
      </c>
      <c r="AP20" s="4">
        <v>4.7621562487983202E-2</v>
      </c>
      <c r="AQ20" s="4">
        <v>6.4087746648928356E-2</v>
      </c>
      <c r="AR20" s="4">
        <v>5.155954684500396E-2</v>
      </c>
      <c r="AS20" s="4">
        <v>3.7204647259475226E-2</v>
      </c>
      <c r="AT20" s="4">
        <v>2.7101488098635454E-2</v>
      </c>
      <c r="AU20" s="4">
        <v>1.7645975610301224E-2</v>
      </c>
      <c r="AV20" s="4">
        <v>4.8970736569510592E-2</v>
      </c>
      <c r="AW20" s="4">
        <v>2.5815078642228304E-2</v>
      </c>
      <c r="AX20" s="4">
        <v>6.5086929081937334E-2</v>
      </c>
      <c r="AY20" s="4">
        <v>4.3925150147080413E-2</v>
      </c>
    </row>
    <row r="21" spans="1:51" x14ac:dyDescent="0.2">
      <c r="A21" s="5">
        <v>18</v>
      </c>
      <c r="B21" s="4">
        <v>3.550831190030538E-2</v>
      </c>
      <c r="C21" s="4">
        <v>2.508199554020208E-2</v>
      </c>
      <c r="D21" s="4">
        <v>3.6049353913238019E-2</v>
      </c>
      <c r="E21" s="4">
        <v>5.1611756817657499E-2</v>
      </c>
      <c r="F21" s="4">
        <v>4.0376029884542683E-2</v>
      </c>
      <c r="G21" s="4">
        <v>3.3826000955335264E-2</v>
      </c>
      <c r="H21" s="4">
        <v>3.6338370203972237E-2</v>
      </c>
      <c r="I21" s="4">
        <v>3.3915430068786563E-2</v>
      </c>
      <c r="J21" s="4">
        <v>3.0096594402713422E-2</v>
      </c>
      <c r="K21" s="4">
        <v>5.2855108187418565E-2</v>
      </c>
      <c r="L21" s="4">
        <v>3.6812292279954938E-2</v>
      </c>
      <c r="M21" s="4">
        <v>4.5457203316168114E-2</v>
      </c>
      <c r="N21" s="4">
        <v>3.9308111569555812E-2</v>
      </c>
      <c r="O21" s="4">
        <v>4.0133306252635871E-2</v>
      </c>
      <c r="P21" s="4">
        <v>7.2383312927390114E-2</v>
      </c>
      <c r="Q21" s="4">
        <v>3.4919461499926703E-2</v>
      </c>
      <c r="R21" s="4">
        <v>2.8498820098805257E-2</v>
      </c>
      <c r="S21" s="4">
        <v>3.1934596818870467E-2</v>
      </c>
      <c r="T21" s="4">
        <v>3.2231078553560076E-2</v>
      </c>
      <c r="U21" s="4">
        <v>5.1185697113069729E-2</v>
      </c>
      <c r="V21" s="4">
        <v>4.5519490026602237E-2</v>
      </c>
      <c r="W21" s="4">
        <v>4.806466343019393E-2</v>
      </c>
      <c r="X21" s="4">
        <v>4.0817089189583586E-2</v>
      </c>
      <c r="Y21" s="4">
        <v>2.7230414534517598E-2</v>
      </c>
      <c r="Z21" s="4">
        <v>4.5801074485372482E-2</v>
      </c>
      <c r="AA21" s="4">
        <v>4.1726129713056642E-2</v>
      </c>
      <c r="AB21" s="4">
        <v>3.5095047990592376E-2</v>
      </c>
      <c r="AC21" s="4">
        <v>3.6464212981413925E-2</v>
      </c>
      <c r="AD21" s="4">
        <v>3.3486279042215177E-2</v>
      </c>
      <c r="AE21" s="4">
        <v>3.0875229950391811E-2</v>
      </c>
      <c r="AF21" s="4">
        <v>2.9741458011128749E-2</v>
      </c>
      <c r="AG21" s="4">
        <v>5.2518216525753871E-2</v>
      </c>
      <c r="AH21" s="4">
        <v>5.814082135429683E-2</v>
      </c>
      <c r="AI21" s="4">
        <v>3.8339140393342588E-2</v>
      </c>
      <c r="AJ21" s="4">
        <v>3.9850226868888464E-2</v>
      </c>
      <c r="AK21" s="4">
        <v>4.2349420657557084E-2</v>
      </c>
      <c r="AL21" s="4">
        <v>7.9360374341075138E-2</v>
      </c>
      <c r="AM21" s="4">
        <v>6.217299829895391E-2</v>
      </c>
      <c r="AN21" s="4">
        <v>2.2921553220152074E-2</v>
      </c>
      <c r="AO21" s="4">
        <v>2.6237497986669658E-2</v>
      </c>
      <c r="AP21" s="4">
        <v>5.0307487610706914E-2</v>
      </c>
      <c r="AQ21" s="4">
        <v>6.6137080030640574E-2</v>
      </c>
      <c r="AR21" s="4">
        <v>4.5556244014831965E-2</v>
      </c>
      <c r="AS21" s="4">
        <v>3.9427158885500198E-2</v>
      </c>
      <c r="AT21" s="4">
        <v>2.995486159137789E-2</v>
      </c>
      <c r="AU21" s="4">
        <v>1.9450812141437727E-2</v>
      </c>
      <c r="AV21" s="4">
        <v>4.926482582342271E-2</v>
      </c>
      <c r="AW21" s="4">
        <v>3.0155366322667673E-2</v>
      </c>
      <c r="AX21" s="4">
        <v>6.46728039519298E-2</v>
      </c>
      <c r="AY21" s="4">
        <v>4.1699496284581986E-2</v>
      </c>
    </row>
    <row r="22" spans="1:51" x14ac:dyDescent="0.2">
      <c r="A22" s="5">
        <v>19</v>
      </c>
      <c r="B22" s="4">
        <v>3.4760265062940207E-2</v>
      </c>
      <c r="C22" s="4">
        <v>2.4496894797000821E-2</v>
      </c>
      <c r="D22" s="4">
        <v>3.4627563771172633E-2</v>
      </c>
      <c r="E22" s="4">
        <v>4.877368182849013E-2</v>
      </c>
      <c r="F22" s="4">
        <v>4.0092396334490271E-2</v>
      </c>
      <c r="G22" s="4">
        <v>3.1295385413829119E-2</v>
      </c>
      <c r="H22" s="4">
        <v>3.8444584990351145E-2</v>
      </c>
      <c r="I22" s="4">
        <v>4.0983747480296616E-2</v>
      </c>
      <c r="J22" s="4">
        <v>2.7698395239756046E-2</v>
      </c>
      <c r="K22" s="4">
        <v>5.1686653816046556E-2</v>
      </c>
      <c r="L22" s="4">
        <v>3.7568892254470895E-2</v>
      </c>
      <c r="M22" s="4">
        <v>5.1711938966270403E-2</v>
      </c>
      <c r="N22" s="4">
        <v>3.3948989103363164E-2</v>
      </c>
      <c r="O22" s="4">
        <v>4.1139889443677212E-2</v>
      </c>
      <c r="P22" s="4">
        <v>6.9284936594132929E-2</v>
      </c>
      <c r="Q22" s="4">
        <v>3.4332338393377612E-2</v>
      </c>
      <c r="R22" s="4">
        <v>3.1633196632741944E-2</v>
      </c>
      <c r="S22" s="4">
        <v>3.1250310697616059E-2</v>
      </c>
      <c r="T22" s="4">
        <v>3.5340419452964456E-2</v>
      </c>
      <c r="U22" s="4">
        <v>4.4902987229555248E-2</v>
      </c>
      <c r="V22" s="4">
        <v>4.4850346103306342E-2</v>
      </c>
      <c r="W22" s="4">
        <v>5.1021075952757171E-2</v>
      </c>
      <c r="X22" s="4">
        <v>4.3988318456943731E-2</v>
      </c>
      <c r="Y22" s="4">
        <v>2.563554428302391E-2</v>
      </c>
      <c r="Z22" s="4">
        <v>4.5293180547475574E-2</v>
      </c>
      <c r="AA22" s="4">
        <v>4.0902927875787407E-2</v>
      </c>
      <c r="AB22" s="4">
        <v>3.8864124420537702E-2</v>
      </c>
      <c r="AC22" s="4">
        <v>3.5360828977827219E-2</v>
      </c>
      <c r="AD22" s="4">
        <v>2.8897704171761095E-2</v>
      </c>
      <c r="AE22" s="4">
        <v>2.8815689715781297E-2</v>
      </c>
      <c r="AF22" s="4">
        <v>2.7084272828850342E-2</v>
      </c>
      <c r="AG22" s="4">
        <v>5.5912230192342413E-2</v>
      </c>
      <c r="AH22" s="4">
        <v>5.7139096147246535E-2</v>
      </c>
      <c r="AI22" s="4">
        <v>3.3904659362110651E-2</v>
      </c>
      <c r="AJ22" s="4">
        <v>3.879050158860331E-2</v>
      </c>
      <c r="AK22" s="4">
        <v>4.5290156515656148E-2</v>
      </c>
      <c r="AL22" s="4">
        <v>7.5322477870573029E-2</v>
      </c>
      <c r="AM22" s="4">
        <v>5.602334171507771E-2</v>
      </c>
      <c r="AN22" s="4">
        <v>2.2174367941736502E-2</v>
      </c>
      <c r="AO22" s="4">
        <v>2.6751373878906626E-2</v>
      </c>
      <c r="AP22" s="4">
        <v>4.7936357975298376E-2</v>
      </c>
      <c r="AQ22" s="4">
        <v>5.6320101568396466E-2</v>
      </c>
      <c r="AR22" s="4">
        <v>4.9628190048362122E-2</v>
      </c>
      <c r="AS22" s="4">
        <v>3.8883701278017255E-2</v>
      </c>
      <c r="AT22" s="4">
        <v>2.9831340388604188E-2</v>
      </c>
      <c r="AU22" s="4">
        <v>1.700167964825966E-2</v>
      </c>
      <c r="AV22" s="4">
        <v>4.9200175598028632E-2</v>
      </c>
      <c r="AW22" s="4">
        <v>3.3115124600228474E-2</v>
      </c>
      <c r="AX22" s="4">
        <v>6.5567491236024039E-2</v>
      </c>
      <c r="AY22" s="4">
        <v>4.1058597347468681E-2</v>
      </c>
    </row>
    <row r="23" spans="1:51" x14ac:dyDescent="0.2">
      <c r="A23" s="5">
        <v>20</v>
      </c>
      <c r="B23" s="4">
        <v>2.9643890559975794E-2</v>
      </c>
      <c r="C23" s="4">
        <v>2.1696374411696643E-2</v>
      </c>
      <c r="D23" s="4">
        <v>2.9432711147367695E-2</v>
      </c>
      <c r="E23" s="4">
        <v>4.9595700246333488E-2</v>
      </c>
      <c r="F23" s="4">
        <v>3.4926057655322154E-2</v>
      </c>
      <c r="G23" s="4">
        <v>2.601472684492756E-2</v>
      </c>
      <c r="H23" s="4">
        <v>3.7114878432778747E-2</v>
      </c>
      <c r="I23" s="4">
        <v>4.1949475504554606E-2</v>
      </c>
      <c r="J23" s="4">
        <v>3.093201965794274E-2</v>
      </c>
      <c r="K23" s="4">
        <v>5.4095002551937846E-2</v>
      </c>
      <c r="L23" s="4">
        <v>3.2424639522875609E-2</v>
      </c>
      <c r="M23" s="4">
        <v>5.2388599688611294E-2</v>
      </c>
      <c r="N23" s="4">
        <v>3.2126768371790237E-2</v>
      </c>
      <c r="O23" s="4">
        <v>3.9035099110032473E-2</v>
      </c>
      <c r="P23" s="4">
        <v>7.084257424076229E-2</v>
      </c>
      <c r="Q23" s="4">
        <v>3.5639529160565682E-2</v>
      </c>
      <c r="R23" s="4">
        <v>3.4505156611986547E-2</v>
      </c>
      <c r="S23" s="4">
        <v>3.0369890108421928E-2</v>
      </c>
      <c r="T23" s="4">
        <v>3.3810242038851065E-2</v>
      </c>
      <c r="U23" s="4">
        <v>4.4408347109106121E-2</v>
      </c>
      <c r="V23" s="4">
        <v>3.8597435939369831E-2</v>
      </c>
      <c r="W23" s="4">
        <v>5.2099605215470336E-2</v>
      </c>
      <c r="X23" s="4">
        <v>3.9457799530320942E-2</v>
      </c>
      <c r="Y23" s="4">
        <v>2.5117822073489362E-2</v>
      </c>
      <c r="Z23" s="4">
        <v>4.4915761493423585E-2</v>
      </c>
      <c r="AA23" s="4">
        <v>3.8673745224672817E-2</v>
      </c>
      <c r="AB23" s="4">
        <v>4.0093024828754646E-2</v>
      </c>
      <c r="AC23" s="4">
        <v>3.6981628410127663E-2</v>
      </c>
      <c r="AD23" s="4">
        <v>3.1098260580036084E-2</v>
      </c>
      <c r="AE23" s="4">
        <v>3.2199444298071339E-2</v>
      </c>
      <c r="AF23" s="4">
        <v>2.175046364247896E-2</v>
      </c>
      <c r="AG23" s="4">
        <v>5.294653016555656E-2</v>
      </c>
      <c r="AH23" s="4">
        <v>6.2979933339893227E-2</v>
      </c>
      <c r="AI23" s="4">
        <v>3.7666035086659486E-2</v>
      </c>
      <c r="AJ23" s="4">
        <v>4.099705565900412E-2</v>
      </c>
      <c r="AK23" s="4">
        <v>3.7444753266549849E-2</v>
      </c>
      <c r="AL23" s="4">
        <v>8.1435882419552713E-2</v>
      </c>
      <c r="AM23" s="4">
        <v>5.4523924712288153E-2</v>
      </c>
      <c r="AN23" s="4">
        <v>2.6551885002622511E-2</v>
      </c>
      <c r="AO23" s="4">
        <v>2.6101512501387963E-2</v>
      </c>
      <c r="AP23" s="4">
        <v>5.571343821592678E-2</v>
      </c>
      <c r="AQ23" s="4">
        <v>6.3909614770141121E-2</v>
      </c>
      <c r="AR23" s="4">
        <v>5.3371620906650916E-2</v>
      </c>
      <c r="AS23" s="4">
        <v>4.2351984301401489E-2</v>
      </c>
      <c r="AT23" s="4">
        <v>3.42588159266351E-2</v>
      </c>
      <c r="AU23" s="4">
        <v>1.5330661989623894E-2</v>
      </c>
      <c r="AV23" s="4">
        <v>4.5649664426502236E-2</v>
      </c>
      <c r="AW23" s="4">
        <v>3.1226970385148749E-2</v>
      </c>
      <c r="AX23" s="4">
        <v>7.1778829883253417E-2</v>
      </c>
      <c r="AY23" s="4">
        <v>3.9390835143151552E-2</v>
      </c>
    </row>
    <row r="24" spans="1:51" x14ac:dyDescent="0.2">
      <c r="A24" s="5">
        <v>21</v>
      </c>
      <c r="B24" s="4">
        <v>2.9835243551974137E-2</v>
      </c>
      <c r="C24" s="4">
        <v>2.008844143867701E-2</v>
      </c>
      <c r="D24" s="4">
        <v>3.0460754399305807E-2</v>
      </c>
      <c r="E24" s="4">
        <v>5.1622897571439057E-2</v>
      </c>
      <c r="F24" s="4">
        <v>3.9447263140973757E-2</v>
      </c>
      <c r="G24" s="4">
        <v>2.7159280407808236E-2</v>
      </c>
      <c r="H24" s="4">
        <v>3.8745993024671063E-2</v>
      </c>
      <c r="I24" s="4">
        <v>4.4454741887992581E-2</v>
      </c>
      <c r="J24" s="4">
        <v>3.1831403023980374E-2</v>
      </c>
      <c r="K24" s="4">
        <v>5.4750832181760134E-2</v>
      </c>
      <c r="L24" s="4">
        <v>3.6545952324468826E-2</v>
      </c>
      <c r="M24" s="4">
        <v>5.3902130369865159E-2</v>
      </c>
      <c r="N24" s="4">
        <v>3.2729917646930881E-2</v>
      </c>
      <c r="O24" s="4">
        <v>4.2855936101168654E-2</v>
      </c>
      <c r="P24" s="4">
        <v>6.5305603247879179E-2</v>
      </c>
      <c r="Q24" s="4">
        <v>3.5799934282803689E-2</v>
      </c>
      <c r="R24" s="4">
        <v>3.5283541802049345E-2</v>
      </c>
      <c r="S24" s="4">
        <v>2.916276229380679E-2</v>
      </c>
      <c r="T24" s="4">
        <v>3.2261556134787608E-2</v>
      </c>
      <c r="U24" s="4">
        <v>4.5868786087414862E-2</v>
      </c>
      <c r="V24" s="4">
        <v>3.9799579833552132E-2</v>
      </c>
      <c r="W24" s="4">
        <v>5.7348158716720443E-2</v>
      </c>
      <c r="X24" s="4">
        <v>3.6707266064932673E-2</v>
      </c>
      <c r="Y24" s="4">
        <v>2.5580538839143952E-2</v>
      </c>
      <c r="Z24" s="4">
        <v>5.0968733914699749E-2</v>
      </c>
      <c r="AA24" s="4">
        <v>3.9900574816204987E-2</v>
      </c>
      <c r="AB24" s="4">
        <v>4.109939880558313E-2</v>
      </c>
      <c r="AC24" s="4">
        <v>3.7360165985444775E-2</v>
      </c>
      <c r="AD24" s="4">
        <v>2.9759506100197185E-2</v>
      </c>
      <c r="AE24" s="4">
        <v>2.9759236810126804E-2</v>
      </c>
      <c r="AF24" s="4">
        <v>2.3110637758965377E-2</v>
      </c>
      <c r="AG24" s="4">
        <v>5.2519971587852987E-2</v>
      </c>
      <c r="AH24" s="4">
        <v>7.1954679707884217E-2</v>
      </c>
      <c r="AI24" s="4">
        <v>3.7506540200841057E-2</v>
      </c>
      <c r="AJ24" s="4">
        <v>4.5857224110403716E-2</v>
      </c>
      <c r="AK24" s="4">
        <v>3.5586683008715092E-2</v>
      </c>
      <c r="AL24" s="4">
        <v>8.1083302453713813E-2</v>
      </c>
      <c r="AM24" s="4">
        <v>5.3503310674591742E-2</v>
      </c>
      <c r="AN24" s="4">
        <v>2.7149504873497474E-2</v>
      </c>
      <c r="AO24" s="4">
        <v>2.7484703202771046E-2</v>
      </c>
      <c r="AP24" s="4">
        <v>5.309007184093003E-2</v>
      </c>
      <c r="AQ24" s="4">
        <v>5.7152524939636011E-2</v>
      </c>
      <c r="AR24" s="4">
        <v>4.8248361647904997E-2</v>
      </c>
      <c r="AS24" s="4">
        <v>4.4525283054894595E-2</v>
      </c>
      <c r="AT24" s="4">
        <v>3.3095746299157326E-2</v>
      </c>
      <c r="AU24" s="4">
        <v>1.8456008855106135E-2</v>
      </c>
      <c r="AV24" s="4">
        <v>4.2307161067628295E-2</v>
      </c>
      <c r="AW24" s="4">
        <v>2.4820755568693086E-2</v>
      </c>
      <c r="AX24" s="4">
        <v>7.3159633872747043E-2</v>
      </c>
      <c r="AY24" s="4">
        <v>4.5462037815384999E-2</v>
      </c>
    </row>
    <row r="25" spans="1:51" x14ac:dyDescent="0.2">
      <c r="A25" s="5">
        <v>22</v>
      </c>
      <c r="B25" s="4">
        <v>2.9744279722308007E-2</v>
      </c>
      <c r="C25" s="4">
        <v>1.7022371508165494E-2</v>
      </c>
      <c r="D25" s="4">
        <v>3.1655077570580427E-2</v>
      </c>
      <c r="E25" s="4">
        <v>5.1745755430734203E-2</v>
      </c>
      <c r="F25" s="4">
        <v>3.960439715604145E-2</v>
      </c>
      <c r="G25" s="4">
        <v>2.2704938321312162E-2</v>
      </c>
      <c r="H25" s="4">
        <v>3.3797285745582405E-2</v>
      </c>
      <c r="I25" s="4">
        <v>4.3049686005913926E-2</v>
      </c>
      <c r="J25" s="4">
        <v>3.1191395623617078E-2</v>
      </c>
      <c r="K25" s="4">
        <v>5.3509832617043111E-2</v>
      </c>
      <c r="L25" s="4">
        <v>3.6766902012556099E-2</v>
      </c>
      <c r="M25" s="4">
        <v>5.0365548190900132E-2</v>
      </c>
      <c r="N25" s="4">
        <v>3.0332013665108508E-2</v>
      </c>
      <c r="O25" s="4">
        <v>4.0037572398375361E-2</v>
      </c>
      <c r="P25" s="4">
        <v>6.8456940436059807E-2</v>
      </c>
      <c r="Q25" s="4">
        <v>2.4884614179865254E-2</v>
      </c>
      <c r="R25" s="4">
        <v>2.7978040189273311E-2</v>
      </c>
      <c r="S25" s="4">
        <v>3.047961757431665E-2</v>
      </c>
      <c r="T25" s="4">
        <v>3.1097405562688508E-2</v>
      </c>
      <c r="U25" s="4">
        <v>4.5608422041932779E-2</v>
      </c>
      <c r="V25" s="4">
        <v>3.9785753353991725E-2</v>
      </c>
      <c r="W25" s="4">
        <v>5.5557792294925183E-2</v>
      </c>
      <c r="X25" s="4">
        <v>3.5308109002254527E-2</v>
      </c>
      <c r="Y25" s="4">
        <v>2.2176813104484199E-2</v>
      </c>
      <c r="Z25" s="4">
        <v>5.037247737551994E-2</v>
      </c>
      <c r="AA25" s="4">
        <v>4.3871702287580062E-2</v>
      </c>
      <c r="AB25" s="4">
        <v>4.3736357627191302E-2</v>
      </c>
      <c r="AC25" s="4">
        <v>3.5900721742898899E-2</v>
      </c>
      <c r="AD25" s="4">
        <v>3.0995859423510626E-2</v>
      </c>
      <c r="AE25" s="4">
        <v>3.2760558721567572E-2</v>
      </c>
      <c r="AF25" s="4">
        <v>2.210748728322641E-2</v>
      </c>
      <c r="AG25" s="4">
        <v>5.5954189266064158E-2</v>
      </c>
      <c r="AH25" s="4">
        <v>7.9319183060803572E-2</v>
      </c>
      <c r="AI25" s="4">
        <v>3.3478712493722265E-2</v>
      </c>
      <c r="AJ25" s="4">
        <v>4.3514819517257546E-2</v>
      </c>
      <c r="AK25" s="4">
        <v>3.2244099339232071E-2</v>
      </c>
      <c r="AL25" s="4">
        <v>8.1738046062755004E-2</v>
      </c>
      <c r="AM25" s="4">
        <v>4.8651191415927615E-2</v>
      </c>
      <c r="AN25" s="4">
        <v>2.8232553961149216E-2</v>
      </c>
      <c r="AO25" s="4">
        <v>2.7410807917407704E-2</v>
      </c>
      <c r="AP25" s="4">
        <v>5.1202007952117407E-2</v>
      </c>
      <c r="AQ25" s="4">
        <v>5.8859961172431856E-2</v>
      </c>
      <c r="AR25" s="4">
        <v>5.0271029711624275E-2</v>
      </c>
      <c r="AS25" s="4">
        <v>4.2250120583470406E-2</v>
      </c>
      <c r="AT25" s="4">
        <v>3.5406829369902332E-2</v>
      </c>
      <c r="AU25" s="4">
        <v>1.7096666679301594E-2</v>
      </c>
      <c r="AV25" s="4">
        <v>3.8965311955982712E-2</v>
      </c>
      <c r="AW25" s="4">
        <v>2.5254866588776036E-2</v>
      </c>
      <c r="AX25" s="4">
        <v>6.8487829146431325E-2</v>
      </c>
      <c r="AY25" s="4">
        <v>4.4915938236587911E-2</v>
      </c>
    </row>
    <row r="26" spans="1:51" x14ac:dyDescent="0.2">
      <c r="A26" s="5">
        <v>23</v>
      </c>
      <c r="B26" s="4">
        <v>2.8250741450775503E-2</v>
      </c>
      <c r="C26" s="4">
        <v>1.6394347643612656E-2</v>
      </c>
      <c r="D26" s="4">
        <v>3.219223233553186E-2</v>
      </c>
      <c r="E26" s="4">
        <v>4.9470182235675605E-2</v>
      </c>
      <c r="F26" s="4">
        <v>4.3329004498802122E-2</v>
      </c>
      <c r="G26" s="4">
        <v>2.8078448458212332E-2</v>
      </c>
      <c r="H26" s="4">
        <v>2.8755651031561191E-2</v>
      </c>
      <c r="I26" s="4">
        <v>4.2711018416878403E-2</v>
      </c>
      <c r="J26" s="4">
        <v>2.8700228987044427E-2</v>
      </c>
      <c r="K26" s="4">
        <v>5.2069946006321588E-2</v>
      </c>
      <c r="L26" s="4">
        <v>3.2650993503835615E-2</v>
      </c>
      <c r="M26" s="4">
        <v>4.483899522645577E-2</v>
      </c>
      <c r="N26" s="4">
        <v>2.6616974641804601E-2</v>
      </c>
      <c r="O26" s="4">
        <v>3.916363561080722E-2</v>
      </c>
      <c r="P26" s="4">
        <v>5.9687583653321927E-2</v>
      </c>
      <c r="Q26" s="4">
        <v>2.7215788400598732E-2</v>
      </c>
      <c r="R26" s="4">
        <v>3.1709252168050789E-2</v>
      </c>
      <c r="S26" s="4">
        <v>2.9757754260424586E-2</v>
      </c>
      <c r="T26" s="4">
        <v>3.0944342589820501E-2</v>
      </c>
      <c r="U26" s="4">
        <v>4.8519487370099326E-2</v>
      </c>
      <c r="V26" s="4">
        <v>4.2119966179086164E-2</v>
      </c>
      <c r="W26" s="4">
        <v>4.9209632045329459E-2</v>
      </c>
      <c r="X26" s="4">
        <v>3.4859653361236427E-2</v>
      </c>
      <c r="Y26" s="4">
        <v>2.557056542606554E-2</v>
      </c>
      <c r="Z26" s="4">
        <v>5.14119427577256E-2</v>
      </c>
      <c r="AA26" s="4">
        <v>4.8103273952177832E-2</v>
      </c>
      <c r="AB26" s="4">
        <v>4.1565430771477743E-2</v>
      </c>
      <c r="AC26" s="4">
        <v>4.2958039384062147E-2</v>
      </c>
      <c r="AD26" s="4">
        <v>3.8863376892091177E-2</v>
      </c>
      <c r="AE26" s="4">
        <v>3.3131931362901039E-2</v>
      </c>
      <c r="AF26" s="4">
        <v>2.1999570188216532E-2</v>
      </c>
      <c r="AG26" s="4">
        <v>5.3057366072984363E-2</v>
      </c>
      <c r="AH26" s="4">
        <v>8.345766096151222E-2</v>
      </c>
      <c r="AI26" s="4">
        <v>3.0179207671101948E-2</v>
      </c>
      <c r="AJ26" s="4">
        <v>4.3812315322926877E-2</v>
      </c>
      <c r="AK26" s="4">
        <v>2.9331741226100244E-2</v>
      </c>
      <c r="AL26" s="4">
        <v>9.2276323516258529E-2</v>
      </c>
      <c r="AM26" s="4">
        <v>4.1676503249977424E-2</v>
      </c>
      <c r="AN26" s="4">
        <v>2.7177785217539288E-2</v>
      </c>
      <c r="AO26" s="4">
        <v>3.3305538209247219E-2</v>
      </c>
      <c r="AP26" s="4">
        <v>5.0022168299488995E-2</v>
      </c>
      <c r="AQ26" s="4">
        <v>5.4819996493708591E-2</v>
      </c>
      <c r="AR26" s="4">
        <v>4.9062917503781493E-2</v>
      </c>
      <c r="AS26" s="4">
        <v>4.1898814426759003E-2</v>
      </c>
      <c r="AT26" s="4">
        <v>4.2675141901311484E-2</v>
      </c>
      <c r="AU26" s="4">
        <v>1.8787240985988853E-2</v>
      </c>
      <c r="AV26" s="4">
        <v>3.6253790393558014E-2</v>
      </c>
      <c r="AW26" s="4">
        <v>2.6063570799681079E-2</v>
      </c>
      <c r="AX26" s="4">
        <v>6.7361973383136958E-2</v>
      </c>
      <c r="AY26" s="4">
        <v>4.3555527707493914E-2</v>
      </c>
    </row>
    <row r="27" spans="1:51" x14ac:dyDescent="0.2">
      <c r="A27" s="5">
        <v>24</v>
      </c>
      <c r="B27" s="4">
        <v>2.6814281943565985E-2</v>
      </c>
      <c r="C27" s="4">
        <v>1.5718713225895863E-2</v>
      </c>
      <c r="D27" s="4">
        <v>2.5313091746908149E-2</v>
      </c>
      <c r="E27" s="4">
        <v>4.9980893135503912E-2</v>
      </c>
      <c r="F27" s="4">
        <v>4.9967831233533086E-2</v>
      </c>
      <c r="G27" s="4">
        <v>3.1606984869357271E-2</v>
      </c>
      <c r="H27" s="4">
        <v>2.6482386781734334E-2</v>
      </c>
      <c r="I27" s="4">
        <v>3.83860542978283E-2</v>
      </c>
      <c r="J27" s="4">
        <v>2.8877415663645489E-2</v>
      </c>
      <c r="K27" s="4">
        <v>4.7026519252062533E-2</v>
      </c>
      <c r="L27" s="4">
        <v>3.1711891813800741E-2</v>
      </c>
      <c r="M27" s="4">
        <v>4.9686856588013292E-2</v>
      </c>
      <c r="N27" s="4">
        <v>2.929182189722174E-2</v>
      </c>
      <c r="O27" s="4">
        <v>4.0855242239189064E-2</v>
      </c>
      <c r="P27" s="4">
        <v>5.8669135576995761E-2</v>
      </c>
      <c r="Q27" s="4">
        <v>2.0262241052647678E-2</v>
      </c>
      <c r="R27" s="4">
        <v>3.1143512889282569E-2</v>
      </c>
      <c r="S27" s="4">
        <v>2.9153765320122278E-2</v>
      </c>
      <c r="T27" s="4">
        <v>2.6912774284821847E-2</v>
      </c>
      <c r="U27" s="4">
        <v>4.5592122526297782E-2</v>
      </c>
      <c r="V27" s="4">
        <v>4.2876876780808863E-2</v>
      </c>
      <c r="W27" s="4">
        <v>4.8476371237409568E-2</v>
      </c>
      <c r="X27" s="4">
        <v>2.9583295947591841E-2</v>
      </c>
      <c r="Y27" s="4">
        <v>2.2143605266484807E-2</v>
      </c>
      <c r="Z27" s="4">
        <v>5.2101269767995853E-2</v>
      </c>
      <c r="AA27" s="4">
        <v>5.1883638633748765E-2</v>
      </c>
      <c r="AB27" s="4">
        <v>4.2139781303057192E-2</v>
      </c>
      <c r="AC27" s="4">
        <v>4.7142767307316841E-2</v>
      </c>
      <c r="AD27" s="4">
        <v>3.8178993160808472E-2</v>
      </c>
      <c r="AE27" s="4">
        <v>3.3373989958261678E-2</v>
      </c>
      <c r="AF27" s="4">
        <v>2.0248874443261282E-2</v>
      </c>
      <c r="AG27" s="4">
        <v>5.1142473966057742E-2</v>
      </c>
      <c r="AH27" s="4">
        <v>8.2592556514425278E-2</v>
      </c>
      <c r="AI27" s="4">
        <v>3.031199499455825E-2</v>
      </c>
      <c r="AJ27" s="4">
        <v>4.4856071057190187E-2</v>
      </c>
      <c r="AK27" s="4">
        <v>3.0944791317395155E-2</v>
      </c>
      <c r="AL27" s="4">
        <v>9.7128531057894055E-2</v>
      </c>
      <c r="AM27" s="4">
        <v>4.3403406891666781E-2</v>
      </c>
      <c r="AN27" s="4">
        <v>2.5039189585692519E-2</v>
      </c>
      <c r="AO27" s="4">
        <v>2.7765860476367733E-2</v>
      </c>
      <c r="AP27" s="4" t="s">
        <v>174</v>
      </c>
      <c r="AQ27" s="4">
        <v>5.486005878552843E-2</v>
      </c>
      <c r="AR27" s="4">
        <v>4.7320293232841946E-2</v>
      </c>
      <c r="AS27" s="4">
        <v>3.5454947538206806E-2</v>
      </c>
      <c r="AT27" s="4">
        <v>3.8205123209073433E-2</v>
      </c>
      <c r="AU27" s="4">
        <v>1.6639148072365138E-2</v>
      </c>
      <c r="AV27" s="4">
        <v>3.4514460156371565E-2</v>
      </c>
      <c r="AW27" s="4">
        <v>2.6385147225750267E-2</v>
      </c>
      <c r="AX27" s="4">
        <v>6.9698466638745266E-2</v>
      </c>
      <c r="AY27" s="4">
        <v>4.5504755880604694E-2</v>
      </c>
    </row>
    <row r="28" spans="1:51" x14ac:dyDescent="0.2">
      <c r="A28" s="5">
        <v>25</v>
      </c>
      <c r="B28" s="4">
        <v>2.8818467043112507E-2</v>
      </c>
      <c r="C28" s="4">
        <v>1.9114285389020665E-2</v>
      </c>
      <c r="D28" s="4">
        <v>2.1727941338636626E-2</v>
      </c>
      <c r="E28" s="4">
        <v>5.2393806057537295E-2</v>
      </c>
      <c r="F28" s="4">
        <v>4.7399884080080647E-2</v>
      </c>
      <c r="G28" s="4">
        <v>3.4050134823305302E-2</v>
      </c>
      <c r="H28" s="4">
        <v>2.8400116317006469E-2</v>
      </c>
      <c r="I28" s="4">
        <v>4.0413029390516289E-2</v>
      </c>
      <c r="J28" s="4">
        <v>3.5142520060203977E-2</v>
      </c>
      <c r="K28" s="4">
        <v>4.2610742433905245E-2</v>
      </c>
      <c r="L28" s="4">
        <v>3.1085202293331719E-2</v>
      </c>
      <c r="M28" s="4">
        <v>4.7736052377131223E-2</v>
      </c>
      <c r="N28" s="4">
        <v>3.209351726428019E-2</v>
      </c>
      <c r="O28" s="4">
        <v>4.4786042481796011E-2</v>
      </c>
      <c r="P28" s="4">
        <v>5.7103200425681476E-2</v>
      </c>
      <c r="Q28" s="4">
        <v>2.4805188947209372E-2</v>
      </c>
      <c r="R28" s="4">
        <v>3.1420621216259895E-2</v>
      </c>
      <c r="S28" s="4">
        <v>2.2807221437314805E-2</v>
      </c>
      <c r="T28" s="4">
        <v>2.8901708279372534E-2</v>
      </c>
      <c r="U28" s="4">
        <v>4.8244295626106715E-2</v>
      </c>
      <c r="V28" s="4">
        <v>4.018093776493311E-2</v>
      </c>
      <c r="W28" s="4">
        <v>4.2094784169355949E-2</v>
      </c>
      <c r="X28" s="4">
        <v>3.2895115271520975E-2</v>
      </c>
      <c r="Y28" s="4">
        <v>2.2637307292359781E-2</v>
      </c>
      <c r="Z28" s="4">
        <v>4.8263082627337417E-2</v>
      </c>
      <c r="AA28" s="4">
        <v>4.9664742966198494E-2</v>
      </c>
      <c r="AB28" s="4">
        <v>4.0496709786786773E-2</v>
      </c>
      <c r="AC28" s="4">
        <v>4.9142384691151786E-2</v>
      </c>
      <c r="AD28" s="4">
        <v>4.2388886401165657E-2</v>
      </c>
      <c r="AE28" s="4">
        <v>3.5090415518629244E-2</v>
      </c>
      <c r="AF28" s="4">
        <v>2.1861624819635123E-2</v>
      </c>
      <c r="AG28" s="4">
        <v>5.1192409149346446E-2</v>
      </c>
      <c r="AH28" s="4">
        <v>9.1235000505247382E-2</v>
      </c>
      <c r="AI28" s="4">
        <v>2.694002419165966E-2</v>
      </c>
      <c r="AJ28" s="4">
        <v>4.3762835666120381E-2</v>
      </c>
      <c r="AK28" s="4">
        <v>2.7964659262413798E-2</v>
      </c>
      <c r="AL28" s="4">
        <v>9.1753659271025745E-2</v>
      </c>
      <c r="AM28" s="4">
        <v>5.1533024034926128E-2</v>
      </c>
      <c r="AN28" s="4">
        <v>2.4362626594466578E-2</v>
      </c>
      <c r="AO28" s="4">
        <v>2.4016705675685944E-2</v>
      </c>
      <c r="AP28" s="4">
        <v>5.1015735422013805E-2</v>
      </c>
      <c r="AQ28" s="4">
        <v>5.3636741888775485E-2</v>
      </c>
      <c r="AR28" s="4">
        <v>3.8172959254239761E-2</v>
      </c>
      <c r="AS28" s="4">
        <v>2.838209398322486E-2</v>
      </c>
      <c r="AT28" s="4">
        <v>3.8522041333924811E-2</v>
      </c>
      <c r="AU28" s="4">
        <v>1.7064094532658662E-2</v>
      </c>
      <c r="AV28" s="4">
        <v>3.2717224319300652E-2</v>
      </c>
      <c r="AW28" s="4">
        <v>3.2314299741490068E-2</v>
      </c>
      <c r="AX28" s="4">
        <v>6.7982655021035746E-2</v>
      </c>
      <c r="AY28" s="4">
        <v>4.3294190832518779E-2</v>
      </c>
    </row>
    <row r="29" spans="1:51" x14ac:dyDescent="0.2">
      <c r="A29" s="5">
        <v>26</v>
      </c>
      <c r="B29" s="4">
        <v>2.9086930220460175E-2</v>
      </c>
      <c r="C29" s="4">
        <v>1.49149780364625E-2</v>
      </c>
      <c r="D29" s="4">
        <v>2.2478579528469385E-2</v>
      </c>
      <c r="E29" s="4">
        <v>5.102988373892671E-2</v>
      </c>
      <c r="F29" s="4">
        <v>4.5790095219082824E-2</v>
      </c>
      <c r="G29" s="4">
        <v>3.4425820914784216E-2</v>
      </c>
      <c r="H29" s="4">
        <v>3.2298794513689555E-2</v>
      </c>
      <c r="I29" s="4">
        <v>3.9284449035306673E-2</v>
      </c>
      <c r="J29" s="4">
        <v>3.6149626640483525E-2</v>
      </c>
      <c r="K29" s="4">
        <v>4.8195470647090913E-2</v>
      </c>
      <c r="L29" s="4">
        <v>3.1690321257736041E-2</v>
      </c>
      <c r="M29" s="4">
        <v>5.1933751397744421E-2</v>
      </c>
      <c r="N29" s="4">
        <v>3.4521066650978365E-2</v>
      </c>
      <c r="O29" s="4">
        <v>4.4312472270490864E-2</v>
      </c>
      <c r="P29" s="4">
        <v>5.7515509056209488E-2</v>
      </c>
      <c r="Q29" s="4">
        <v>2.3509228774575446E-2</v>
      </c>
      <c r="R29" s="4">
        <v>3.1786132881241276E-2</v>
      </c>
      <c r="S29" s="4">
        <v>2.490882754681098E-2</v>
      </c>
      <c r="T29" s="4">
        <v>3.2670634260618614E-2</v>
      </c>
      <c r="U29" s="4">
        <v>4.4522544983663183E-2</v>
      </c>
      <c r="V29" s="4">
        <v>3.5195308209107573E-2</v>
      </c>
      <c r="W29" s="4">
        <v>4.4296777515845535E-2</v>
      </c>
      <c r="X29" s="4">
        <v>3.6029524178731218E-2</v>
      </c>
      <c r="Y29" s="4">
        <v>2.163994427117143E-2</v>
      </c>
      <c r="Z29" s="4">
        <v>4.5112612883165842E-2</v>
      </c>
      <c r="AA29" s="4">
        <v>5.4402963478401296E-2</v>
      </c>
      <c r="AB29" s="4">
        <v>3.9116741127750279E-2</v>
      </c>
      <c r="AC29" s="4">
        <v>4.5156293662830513E-2</v>
      </c>
      <c r="AD29" s="4">
        <v>4.017529868554378E-2</v>
      </c>
      <c r="AE29" s="4">
        <v>3.111300243547175E-2</v>
      </c>
      <c r="AF29" s="4">
        <v>2.2062694060380472E-2</v>
      </c>
      <c r="AG29" s="4">
        <v>5.1973060330485356E-2</v>
      </c>
      <c r="AH29" s="4">
        <v>9.3691416566166252E-2</v>
      </c>
      <c r="AI29" s="4">
        <v>2.6971952570898006E-2</v>
      </c>
      <c r="AJ29" s="4">
        <v>4.7540261342930684E-2</v>
      </c>
      <c r="AK29" s="4">
        <v>2.5280188704674859E-2</v>
      </c>
      <c r="AL29" s="4">
        <v>9.7809104443873238E-2</v>
      </c>
      <c r="AM29" s="4">
        <v>5.0053194161243847E-2</v>
      </c>
      <c r="AN29" s="4">
        <v>2.4513903742949053E-2</v>
      </c>
      <c r="AO29" s="4">
        <v>2.5950150817631197E-2</v>
      </c>
      <c r="AP29" s="4">
        <v>4.7510552490409072E-2</v>
      </c>
      <c r="AQ29" s="4">
        <v>5.3396991401082609E-2</v>
      </c>
      <c r="AR29" s="4">
        <v>4.0531923402196988E-2</v>
      </c>
      <c r="AS29" s="4">
        <v>2.9980954945789558E-2</v>
      </c>
      <c r="AT29" s="4">
        <v>3.9810798238086573E-2</v>
      </c>
      <c r="AU29" s="4">
        <v>1.7241455837740387E-2</v>
      </c>
      <c r="AV29" s="4">
        <v>3.2847951398684058E-2</v>
      </c>
      <c r="AW29" s="4">
        <v>3.5976262249027217E-2</v>
      </c>
      <c r="AX29" s="4">
        <v>7.4234868598661158E-2</v>
      </c>
      <c r="AY29" s="4">
        <v>4.3113611238790664E-2</v>
      </c>
    </row>
    <row r="30" spans="1:51" x14ac:dyDescent="0.2">
      <c r="A30" s="5">
        <v>27</v>
      </c>
      <c r="B30" s="4">
        <v>3.118749144868075E-2</v>
      </c>
      <c r="C30" s="4">
        <v>1.5363179733190855E-2</v>
      </c>
      <c r="D30" s="4">
        <v>2.6405726710367734E-2</v>
      </c>
      <c r="E30" s="4">
        <v>5.0611900007857466E-2</v>
      </c>
      <c r="F30" s="4">
        <v>4.4893018392054826E-2</v>
      </c>
      <c r="G30" s="4">
        <v>3.5339272497951345E-2</v>
      </c>
      <c r="H30" s="4">
        <v>2.4846159467787173E-2</v>
      </c>
      <c r="I30" s="4">
        <v>3.9572512748137653E-2</v>
      </c>
      <c r="J30" s="4">
        <v>4.1124780997402077E-2</v>
      </c>
      <c r="K30" s="4">
        <v>4.5388276815642711E-2</v>
      </c>
      <c r="L30" s="4">
        <v>2.8407071037874675E-2</v>
      </c>
      <c r="M30" s="4">
        <v>5.2498961344938234E-2</v>
      </c>
      <c r="N30" s="4">
        <v>3.7928114577718927E-2</v>
      </c>
      <c r="O30" s="4">
        <v>4.5608330175886183E-2</v>
      </c>
      <c r="P30" s="4">
        <v>5.5440381761642489E-2</v>
      </c>
      <c r="Q30" s="4">
        <v>2.7591737777677604E-2</v>
      </c>
      <c r="R30" s="4">
        <v>2.6636754492919138E-2</v>
      </c>
      <c r="S30" s="4">
        <v>2.6747015383248099E-2</v>
      </c>
      <c r="T30" s="4">
        <v>3.6704037077482966E-2</v>
      </c>
      <c r="U30" s="4">
        <v>4.5928505130467014E-2</v>
      </c>
      <c r="V30" s="4">
        <v>3.1716690633603703E-2</v>
      </c>
      <c r="W30" s="4">
        <v>4.2700842015994805E-2</v>
      </c>
      <c r="X30" s="4">
        <v>3.6786117993685884E-2</v>
      </c>
      <c r="Y30" s="4">
        <v>2.0081762563517416E-2</v>
      </c>
      <c r="Z30" s="4">
        <v>4.2705329627995149E-2</v>
      </c>
      <c r="AA30" s="4">
        <v>5.0358245014118466E-2</v>
      </c>
      <c r="AB30" s="4">
        <v>3.9584352965206189E-2</v>
      </c>
      <c r="AC30" s="4">
        <v>4.9571786588176063E-2</v>
      </c>
      <c r="AD30" s="4">
        <v>3.9740911409015832E-2</v>
      </c>
      <c r="AE30" s="4">
        <v>2.7137028026438154E-2</v>
      </c>
      <c r="AF30" s="4">
        <v>1.9612123439398978E-2</v>
      </c>
      <c r="AG30" s="4">
        <v>5.0107325890177384E-2</v>
      </c>
      <c r="AH30" s="4">
        <v>8.8317632169009896E-2</v>
      </c>
      <c r="AI30" s="4">
        <v>2.8009874342665685E-2</v>
      </c>
      <c r="AJ30" s="4">
        <v>5.2257860526758682E-2</v>
      </c>
      <c r="AK30" s="4">
        <v>2.068625556878646E-2</v>
      </c>
      <c r="AL30" s="4">
        <v>9.2565556508639887E-2</v>
      </c>
      <c r="AM30" s="4">
        <v>5.0317616489118963E-2</v>
      </c>
      <c r="AN30" s="4">
        <v>2.7468914125546612E-2</v>
      </c>
      <c r="AO30" s="4">
        <v>2.6708932479700555E-2</v>
      </c>
      <c r="AP30" s="4">
        <v>4.6770167732847812E-2</v>
      </c>
      <c r="AQ30" s="4">
        <v>5.6751298068856378E-2</v>
      </c>
      <c r="AR30" s="4">
        <v>4.0501245800411832E-2</v>
      </c>
      <c r="AS30" s="4">
        <v>2.7734373910205314E-2</v>
      </c>
      <c r="AT30" s="4">
        <v>4.1736501673176787E-2</v>
      </c>
      <c r="AU30" s="4">
        <v>1.7298204955425198E-2</v>
      </c>
      <c r="AV30" s="4">
        <v>2.4609435106018679E-2</v>
      </c>
      <c r="AW30" s="4">
        <v>3.5320450594274765E-2</v>
      </c>
      <c r="AX30" s="4">
        <v>7.2631557402831351E-2</v>
      </c>
      <c r="AY30" s="4">
        <v>4.1628217247379209E-2</v>
      </c>
    </row>
    <row r="31" spans="1:51" x14ac:dyDescent="0.2">
      <c r="A31" s="5">
        <v>28</v>
      </c>
      <c r="B31" s="4">
        <v>3.1390262597544918E-2</v>
      </c>
      <c r="C31" s="4">
        <v>1.6098089778959157E-2</v>
      </c>
      <c r="D31" s="4">
        <v>2.8827131693042345E-2</v>
      </c>
      <c r="E31" s="4">
        <v>4.8656109451147574E-2</v>
      </c>
      <c r="F31" s="4">
        <v>4.5682438790129766E-2</v>
      </c>
      <c r="G31" s="4">
        <v>3.526044329934222E-2</v>
      </c>
      <c r="H31" s="4">
        <v>2.3452082525861929E-2</v>
      </c>
      <c r="I31" s="4">
        <v>4.4050845569278727E-2</v>
      </c>
      <c r="J31" s="4">
        <v>3.8770306037670753E-2</v>
      </c>
      <c r="K31" s="4">
        <v>4.4290431555930564E-2</v>
      </c>
      <c r="L31" s="4">
        <v>2.5806503280230386E-2</v>
      </c>
      <c r="M31" s="4">
        <v>5.2584931184860864E-2</v>
      </c>
      <c r="N31" s="4">
        <v>3.9637121451803564E-2</v>
      </c>
      <c r="O31" s="4">
        <v>5.2823109902937385E-2</v>
      </c>
      <c r="P31" s="4">
        <v>6.3984860470539473E-2</v>
      </c>
      <c r="Q31" s="4">
        <v>3.0336038392935732E-2</v>
      </c>
      <c r="R31" s="4">
        <v>2.8430460255094339E-2</v>
      </c>
      <c r="S31" s="4">
        <v>2.3929859652415876E-2</v>
      </c>
      <c r="T31" s="4">
        <v>3.6407961640788425E-2</v>
      </c>
      <c r="U31" s="4">
        <v>3.7638195127390958E-2</v>
      </c>
      <c r="V31" s="4">
        <v>3.4934017809826648E-2</v>
      </c>
      <c r="W31" s="4">
        <v>4.2057132694645283E-2</v>
      </c>
      <c r="X31" s="4">
        <v>3.3089854377240671E-2</v>
      </c>
      <c r="Y31" s="4">
        <v>2.3018587822056218E-2</v>
      </c>
      <c r="Z31" s="4">
        <v>3.5484154298714328E-2</v>
      </c>
      <c r="AA31" s="4">
        <v>5.4082014805444674E-2</v>
      </c>
      <c r="AB31" s="4">
        <v>3.8743733136344528E-2</v>
      </c>
      <c r="AC31" s="4">
        <v>4.9206063147683596E-2</v>
      </c>
      <c r="AD31" s="4">
        <v>4.2049652602411849E-2</v>
      </c>
      <c r="AE31" s="4">
        <v>2.6166112224933334E-2</v>
      </c>
      <c r="AF31" s="4">
        <v>2.0338654981680276E-2</v>
      </c>
      <c r="AG31" s="4">
        <v>4.6728819195450869E-2</v>
      </c>
      <c r="AH31" s="4">
        <v>9.0671323482635388E-2</v>
      </c>
      <c r="AI31" s="4">
        <v>2.7920457965851034E-2</v>
      </c>
      <c r="AJ31" s="4">
        <v>5.5542116508689295E-2</v>
      </c>
      <c r="AK31" s="4">
        <v>1.8370425113310135E-2</v>
      </c>
      <c r="AL31" s="4">
        <v>8.3170468164928901E-2</v>
      </c>
      <c r="AM31" s="4">
        <v>4.6502810729891216E-2</v>
      </c>
      <c r="AN31" s="4">
        <v>2.8105638372976912E-2</v>
      </c>
      <c r="AO31" s="4">
        <v>2.5361889182320733E-2</v>
      </c>
      <c r="AP31" s="4">
        <v>4.7163846626596277E-2</v>
      </c>
      <c r="AQ31" s="4">
        <v>5.5695899563410728E-2</v>
      </c>
      <c r="AR31" s="4">
        <v>4.62330560902861E-2</v>
      </c>
      <c r="AS31" s="4">
        <v>2.6164693658416491E-2</v>
      </c>
      <c r="AT31" s="4">
        <v>3.991798239210604E-2</v>
      </c>
      <c r="AU31" s="4">
        <v>2.0294954399566512E-2</v>
      </c>
      <c r="AV31" s="4">
        <v>2.2795717470385571E-2</v>
      </c>
      <c r="AW31" s="4">
        <v>3.4912599221538693E-2</v>
      </c>
      <c r="AX31" s="4">
        <v>7.2561988945713016E-2</v>
      </c>
      <c r="AY31" s="4">
        <v>4.9886904303741209E-2</v>
      </c>
    </row>
    <row r="32" spans="1:51" x14ac:dyDescent="0.2">
      <c r="A32" s="5">
        <v>29</v>
      </c>
      <c r="B32" s="4">
        <v>3.4260350168471794E-2</v>
      </c>
      <c r="C32" s="4">
        <v>1.9429711676990341E-2</v>
      </c>
      <c r="D32" s="4">
        <v>2.9075014782417554E-2</v>
      </c>
      <c r="E32" s="4">
        <v>4.9616906272623718E-2</v>
      </c>
      <c r="F32" s="4">
        <v>3.8647064184014895E-2</v>
      </c>
      <c r="G32" s="4">
        <v>3.5933464916949716E-2</v>
      </c>
      <c r="H32" s="4">
        <v>2.3022545643558497E-2</v>
      </c>
      <c r="I32" s="4">
        <v>3.7841324482073092E-2</v>
      </c>
      <c r="J32" s="4">
        <v>3.9031022224105032E-2</v>
      </c>
      <c r="K32" s="4">
        <v>4.6510033675289129E-2</v>
      </c>
      <c r="L32" s="4">
        <v>2.3838341624954237E-2</v>
      </c>
      <c r="M32" s="4">
        <v>4.8678719906396065E-2</v>
      </c>
      <c r="N32" s="4">
        <v>3.8279947623483447E-2</v>
      </c>
      <c r="O32" s="4">
        <v>5.4821127693704064E-2</v>
      </c>
      <c r="P32" s="4">
        <v>6.4368096913679992E-2</v>
      </c>
      <c r="Q32" s="4">
        <v>2.9272932417375257E-2</v>
      </c>
      <c r="R32" s="4">
        <v>2.9094081919783885E-2</v>
      </c>
      <c r="S32" s="4">
        <v>2.2241759642134113E-2</v>
      </c>
      <c r="T32" s="4">
        <v>3.480519495673718E-2</v>
      </c>
      <c r="U32" s="4">
        <v>2.8725374544992372E-2</v>
      </c>
      <c r="V32" s="4">
        <v>3.4577815171259269E-2</v>
      </c>
      <c r="W32" s="4">
        <v>4.5176612507794027E-2</v>
      </c>
      <c r="X32" s="4">
        <v>3.7615690934125263E-2</v>
      </c>
      <c r="Y32" s="4">
        <v>2.3669172496169712E-2</v>
      </c>
      <c r="Z32" s="4">
        <v>3.1386932609680333E-2</v>
      </c>
      <c r="AA32" s="4">
        <v>5.2900257713289385E-2</v>
      </c>
      <c r="AB32" s="4">
        <v>3.9484471712484308E-2</v>
      </c>
      <c r="AC32" s="4">
        <v>4.9733913492812178E-2</v>
      </c>
      <c r="AD32" s="4">
        <v>4.2237597221369216E-2</v>
      </c>
      <c r="AE32" s="4">
        <v>2.3991596740010234E-2</v>
      </c>
      <c r="AF32" s="4">
        <v>1.7899352846454587E-2</v>
      </c>
      <c r="AG32" s="4">
        <v>4.9532051557152082E-2</v>
      </c>
      <c r="AH32" s="4">
        <v>8.5444007199092301E-2</v>
      </c>
      <c r="AI32" s="4">
        <v>3.2414948285899775E-2</v>
      </c>
      <c r="AJ32" s="4">
        <v>4.8569965875801924E-2</v>
      </c>
      <c r="AK32" s="4">
        <v>1.887609593219337E-2</v>
      </c>
      <c r="AL32" s="4">
        <v>8.811970002464159E-2</v>
      </c>
      <c r="AM32" s="4">
        <v>5.1394618817616367E-2</v>
      </c>
      <c r="AN32" s="4">
        <v>2.5178314133161156E-2</v>
      </c>
      <c r="AO32" s="4">
        <v>2.428847016842425E-2</v>
      </c>
      <c r="AP32" s="4">
        <v>4.8088929035212828E-2</v>
      </c>
      <c r="AQ32" s="4">
        <v>5.7229506531078764E-2</v>
      </c>
      <c r="AR32" s="4">
        <v>4.3482800350822109E-2</v>
      </c>
      <c r="AS32" s="4">
        <v>2.3218426902186777E-2</v>
      </c>
      <c r="AT32" s="4">
        <v>4.0485848390049747E-2</v>
      </c>
      <c r="AU32" s="4">
        <v>2.0478494441841688E-2</v>
      </c>
      <c r="AV32" s="4">
        <v>2.5278932180395119E-2</v>
      </c>
      <c r="AW32" s="4">
        <v>4.0029670658529824E-2</v>
      </c>
      <c r="AX32" s="4">
        <v>6.3318746720902902E-2</v>
      </c>
      <c r="AY32" s="4">
        <v>5.0123520144997595E-2</v>
      </c>
    </row>
    <row r="33" spans="1:51" x14ac:dyDescent="0.2">
      <c r="A33" s="5">
        <v>30</v>
      </c>
      <c r="B33" s="4">
        <v>2.8942228115176886E-2</v>
      </c>
      <c r="C33" s="4">
        <v>2.1065545130921938E-2</v>
      </c>
      <c r="D33" s="4">
        <v>2.861158661231445E-2</v>
      </c>
      <c r="E33" s="4">
        <v>4.8596526934331558E-2</v>
      </c>
      <c r="F33" s="4">
        <v>3.5090572474918605E-2</v>
      </c>
      <c r="G33" s="4">
        <v>3.512017710332966E-2</v>
      </c>
      <c r="H33" s="4">
        <v>2.6756065750762868E-2</v>
      </c>
      <c r="I33" s="4">
        <v>3.7272555349811727E-2</v>
      </c>
      <c r="J33" s="4">
        <v>3.4406195370500339E-2</v>
      </c>
      <c r="K33" s="4">
        <v>4.919151336404036E-2</v>
      </c>
      <c r="L33" s="4">
        <v>2.2233719826688411E-2</v>
      </c>
      <c r="M33" s="4">
        <v>4.5378089134039824E-2</v>
      </c>
      <c r="N33" s="4">
        <v>3.2547671072181747E-2</v>
      </c>
      <c r="O33" s="4">
        <v>5.4026743643676961E-2</v>
      </c>
      <c r="P33" s="4">
        <v>6.9143525800292385E-2</v>
      </c>
      <c r="Q33" s="4">
        <v>2.588581345719343E-2</v>
      </c>
      <c r="R33" s="4">
        <v>2.9582079822765291E-2</v>
      </c>
      <c r="S33" s="4">
        <v>2.7120397334157564E-2</v>
      </c>
      <c r="T33" s="4">
        <v>3.4040802450527881E-2</v>
      </c>
      <c r="U33" s="4">
        <v>2.7256577996188833E-2</v>
      </c>
      <c r="V33" s="4">
        <v>3.405484452233036E-2</v>
      </c>
      <c r="W33" s="4">
        <v>4.093575129236713E-2</v>
      </c>
      <c r="X33" s="4">
        <v>3.6816632432143628E-2</v>
      </c>
      <c r="Y33" s="4">
        <v>2.3310747749371953E-2</v>
      </c>
      <c r="Z33" s="4">
        <v>3.3787796217560444E-2</v>
      </c>
      <c r="AA33" s="4">
        <v>5.7634722572624704E-2</v>
      </c>
      <c r="AB33" s="4">
        <v>4.7404006867970437E-2</v>
      </c>
      <c r="AC33" s="4">
        <v>4.5393317818706411E-2</v>
      </c>
      <c r="AD33" s="4">
        <v>4.4124280454353994E-2</v>
      </c>
      <c r="AE33" s="4">
        <v>2.706877779474209E-2</v>
      </c>
      <c r="AF33" s="4">
        <v>1.5314266820689136E-2</v>
      </c>
      <c r="AG33" s="4">
        <v>4.90741751917231E-2</v>
      </c>
      <c r="AH33" s="4">
        <v>8.6856367720692981E-2</v>
      </c>
      <c r="AI33" s="4">
        <v>3.3650813106213172E-2</v>
      </c>
      <c r="AJ33" s="4">
        <v>4.6187075769416622E-2</v>
      </c>
      <c r="AK33" s="4">
        <v>2.0156611691691077E-2</v>
      </c>
      <c r="AL33" s="4">
        <v>9.0882127098409815E-2</v>
      </c>
      <c r="AM33" s="4">
        <v>5.2621281533820764E-2</v>
      </c>
      <c r="AN33" s="4">
        <v>2.3841826259623965E-2</v>
      </c>
      <c r="AO33" s="4">
        <v>2.8181025584105315E-2</v>
      </c>
      <c r="AP33" s="4">
        <v>5.2636931501758008E-2</v>
      </c>
      <c r="AQ33" s="4">
        <v>5.2988747618142908E-2</v>
      </c>
      <c r="AR33" s="4">
        <v>4.2981524446452701E-2</v>
      </c>
      <c r="AS33" s="4">
        <v>1.9083280559087725E-2</v>
      </c>
      <c r="AT33" s="4">
        <v>4.3138712334940744E-2</v>
      </c>
      <c r="AU33" s="4">
        <v>2.1358301394693656E-2</v>
      </c>
      <c r="AV33" s="4">
        <v>2.2754138225146853E-2</v>
      </c>
      <c r="AW33" s="4">
        <v>3.9891241001701092E-2</v>
      </c>
      <c r="AX33" s="4">
        <v>5.8938423530970244E-2</v>
      </c>
      <c r="AY33" s="4">
        <v>4.8337964707653794E-2</v>
      </c>
    </row>
    <row r="34" spans="1:51" x14ac:dyDescent="0.2">
      <c r="A34" s="5">
        <v>31</v>
      </c>
      <c r="B34" s="4">
        <v>3.3960965052349606E-2</v>
      </c>
      <c r="C34" s="4">
        <v>1.8423632899767371E-2</v>
      </c>
      <c r="D34" s="4">
        <v>2.9566190735201274E-2</v>
      </c>
      <c r="E34" s="4">
        <v>4.882422974250817E-2</v>
      </c>
      <c r="F34" s="4">
        <v>3.4581986328681071E-2</v>
      </c>
      <c r="G34" s="4">
        <v>3.4864564899318662E-2</v>
      </c>
      <c r="H34" s="4">
        <v>2.2501196850582973E-2</v>
      </c>
      <c r="I34" s="4">
        <v>3.8060905706749922E-2</v>
      </c>
      <c r="J34" s="4">
        <v>3.5669947741514697E-2</v>
      </c>
      <c r="K34" s="4">
        <v>5.5360982077055157E-2</v>
      </c>
      <c r="L34" s="4">
        <v>2.0353181761285411E-2</v>
      </c>
      <c r="M34" s="4">
        <v>4.4175694384302099E-2</v>
      </c>
      <c r="N34" s="4">
        <v>3.4613905231150835E-2</v>
      </c>
      <c r="O34" s="4">
        <v>6.3176463258105581E-2</v>
      </c>
      <c r="P34" s="4">
        <v>7.0092578706444642E-2</v>
      </c>
      <c r="Q34" s="4">
        <v>2.5780391835615764E-2</v>
      </c>
      <c r="R34" s="4">
        <v>2.7759904074898617E-2</v>
      </c>
      <c r="S34" s="4">
        <v>2.4388729094694778E-2</v>
      </c>
      <c r="T34" s="4">
        <v>3.6630754687850098E-2</v>
      </c>
      <c r="U34" s="4">
        <v>2.9284408791993288E-2</v>
      </c>
      <c r="V34" s="4">
        <v>3.4842966657141747E-2</v>
      </c>
      <c r="W34" s="4">
        <v>4.2773395113555837E-2</v>
      </c>
      <c r="X34" s="4">
        <v>3.9539396262945663E-2</v>
      </c>
      <c r="Y34" s="4">
        <v>2.2585532791116796E-2</v>
      </c>
      <c r="Z34" s="4">
        <v>3.1805332110084343E-2</v>
      </c>
      <c r="AA34" s="4">
        <v>5.7452816487808644E-2</v>
      </c>
      <c r="AB34" s="4">
        <v>4.3737363785177584E-2</v>
      </c>
      <c r="AC34" s="4">
        <v>4.6461435533986045E-2</v>
      </c>
      <c r="AD34" s="4">
        <v>4.1733612360661101E-2</v>
      </c>
      <c r="AE34" s="4">
        <v>3.1766177047463671E-2</v>
      </c>
      <c r="AF34" s="4">
        <v>1.9353868176258858E-2</v>
      </c>
      <c r="AG34" s="4">
        <v>4.7276053509513964E-2</v>
      </c>
      <c r="AH34" s="4">
        <v>8.3353693924449038E-2</v>
      </c>
      <c r="AI34" s="4">
        <v>3.6501057858259314E-2</v>
      </c>
      <c r="AJ34" s="4">
        <v>4.4237896445047463E-2</v>
      </c>
      <c r="AK34" s="4">
        <v>1.9555917960780884E-2</v>
      </c>
      <c r="AL34" s="4">
        <v>8.5420347777961064E-2</v>
      </c>
      <c r="AM34" s="4">
        <v>5.1568239805971708E-2</v>
      </c>
      <c r="AN34" s="4">
        <v>2.7282807902599019E-2</v>
      </c>
      <c r="AO34" s="4">
        <v>2.7927046532542625E-2</v>
      </c>
      <c r="AP34" s="4">
        <v>4.9306837715192522E-2</v>
      </c>
      <c r="AQ34" s="4">
        <v>4.9247649510881862E-2</v>
      </c>
      <c r="AR34" s="4">
        <v>4.2611890958456175E-2</v>
      </c>
      <c r="AS34" s="4">
        <v>1.709797113010203E-2</v>
      </c>
      <c r="AT34" s="4">
        <v>4.5023045208190934E-2</v>
      </c>
      <c r="AU34" s="4">
        <v>1.7821388832453995E-2</v>
      </c>
      <c r="AV34" s="4">
        <v>2.2780846093043625E-2</v>
      </c>
      <c r="AW34" s="4">
        <v>4.6289953853363867E-2</v>
      </c>
      <c r="AX34" s="4">
        <v>6.4164419919048629E-2</v>
      </c>
      <c r="AY34" s="4">
        <v>5.2110258323980765E-2</v>
      </c>
    </row>
    <row r="35" spans="1:51" x14ac:dyDescent="0.2">
      <c r="A35" s="5">
        <v>32</v>
      </c>
      <c r="B35" s="4">
        <v>3.4945589673863027E-2</v>
      </c>
      <c r="C35" s="4">
        <v>2.2163649429873731E-2</v>
      </c>
      <c r="D35" s="4">
        <v>3.0913966357979845E-2</v>
      </c>
      <c r="E35" s="4">
        <v>4.8697549594626126E-2</v>
      </c>
      <c r="F35" s="4">
        <v>3.5559473939810952E-2</v>
      </c>
      <c r="G35" s="4">
        <v>3.7145859949343725E-2</v>
      </c>
      <c r="H35" s="4">
        <v>2.1622709742244218E-2</v>
      </c>
      <c r="I35" s="4">
        <v>3.6576586985049703E-2</v>
      </c>
      <c r="J35" s="4">
        <v>3.7732800212707647E-2</v>
      </c>
      <c r="K35" s="4">
        <v>5.8234077190085033E-2</v>
      </c>
      <c r="L35" s="4">
        <v>2.2945944701989233E-2</v>
      </c>
      <c r="M35" s="4">
        <v>3.8576223697984829E-2</v>
      </c>
      <c r="N35" s="4">
        <v>3.8638302948818454E-2</v>
      </c>
      <c r="O35" s="4">
        <v>5.3265712973733739E-2</v>
      </c>
      <c r="P35" s="4">
        <v>6.6291830955387751E-2</v>
      </c>
      <c r="Q35" s="4">
        <v>1.7443666500570117E-2</v>
      </c>
      <c r="R35" s="4">
        <v>2.964290897517043E-2</v>
      </c>
      <c r="S35" s="4">
        <v>2.5630021801719152E-2</v>
      </c>
      <c r="T35" s="4">
        <v>3.9195022524653449E-2</v>
      </c>
      <c r="U35" s="4">
        <v>2.9241506668844969E-2</v>
      </c>
      <c r="V35" s="4">
        <v>2.9425770555092448E-2</v>
      </c>
      <c r="W35" s="4">
        <v>4.0573147388834233E-2</v>
      </c>
      <c r="X35" s="4">
        <v>3.9768385448541707E-2</v>
      </c>
      <c r="Y35" s="4">
        <v>1.961296122419872E-2</v>
      </c>
      <c r="Z35" s="4">
        <v>3.2960940956607204E-2</v>
      </c>
      <c r="AA35" s="4">
        <v>5.4903317839375083E-2</v>
      </c>
      <c r="AB35" s="4">
        <v>4.4752012565596862E-2</v>
      </c>
      <c r="AC35" s="4">
        <v>4.2886706841949361E-2</v>
      </c>
      <c r="AD35" s="4">
        <v>4.024495839254956E-2</v>
      </c>
      <c r="AE35" s="4">
        <v>3.5945668979420295E-2</v>
      </c>
      <c r="AF35" s="4">
        <v>1.8429767112225798E-2</v>
      </c>
      <c r="AG35" s="4">
        <v>4.6510523532017116E-2</v>
      </c>
      <c r="AH35" s="4">
        <v>8.0875446844619545E-2</v>
      </c>
      <c r="AI35" s="4">
        <v>3.6756376178557107E-2</v>
      </c>
      <c r="AJ35" s="4">
        <v>4.3558574303160368E-2</v>
      </c>
      <c r="AK35" s="4">
        <v>1.8575412734039797E-2</v>
      </c>
      <c r="AL35" s="4">
        <v>8.2504291079636291E-2</v>
      </c>
      <c r="AM35" s="4">
        <v>5.3708613185729309E-2</v>
      </c>
      <c r="AN35" s="4">
        <v>3.3374494284088556E-2</v>
      </c>
      <c r="AO35" s="4">
        <v>3.1706411910299818E-2</v>
      </c>
      <c r="AP35" s="4">
        <v>4.7012042184461054E-2</v>
      </c>
      <c r="AQ35" s="4">
        <v>5.406099054092163E-2</v>
      </c>
      <c r="AR35" s="4">
        <v>4.3313180908917871E-2</v>
      </c>
      <c r="AS35" s="4">
        <v>1.6891712213762629E-2</v>
      </c>
      <c r="AT35" s="4">
        <v>4.8256630672584282E-2</v>
      </c>
      <c r="AU35" s="4">
        <v>2.0042057854238494E-2</v>
      </c>
      <c r="AV35" s="4">
        <v>2.7085973883072285E-2</v>
      </c>
      <c r="AW35" s="4">
        <v>5.011316681531313E-2</v>
      </c>
      <c r="AX35" s="4">
        <v>6.6880375696674571E-2</v>
      </c>
      <c r="AY35" s="4">
        <v>4.8026812428513629E-2</v>
      </c>
    </row>
    <row r="36" spans="1:51" x14ac:dyDescent="0.2">
      <c r="A36" s="5">
        <v>33</v>
      </c>
      <c r="B36" s="4">
        <v>3.5054441291116741E-2</v>
      </c>
      <c r="C36" s="4">
        <v>2.0996109194026478E-2</v>
      </c>
      <c r="D36" s="4">
        <v>2.9127348981574534E-2</v>
      </c>
      <c r="E36" s="4">
        <v>4.8624716139469518E-2</v>
      </c>
      <c r="F36" s="4">
        <v>3.6838989779325072E-2</v>
      </c>
      <c r="G36" s="4">
        <v>3.527124197369446E-2</v>
      </c>
      <c r="H36" s="4">
        <v>2.1562245847898152E-2</v>
      </c>
      <c r="I36" s="4">
        <v>3.9641901873943772E-2</v>
      </c>
      <c r="J36" s="4">
        <v>4.2220243208642705E-2</v>
      </c>
      <c r="K36" s="4">
        <v>5.3450835041137679E-2</v>
      </c>
      <c r="L36" s="4">
        <v>2.2958005481876584E-2</v>
      </c>
      <c r="M36" s="4">
        <v>3.7281434695333793E-2</v>
      </c>
      <c r="N36" s="4">
        <v>3.5381977376871369E-2</v>
      </c>
      <c r="O36" s="4">
        <v>5.069559919534166E-2</v>
      </c>
      <c r="P36" s="4">
        <v>6.35007312963628E-2</v>
      </c>
      <c r="Q36" s="4">
        <v>1.8648944938839042E-2</v>
      </c>
      <c r="R36" s="4">
        <v>2.948075116997171E-2</v>
      </c>
      <c r="S36" s="4">
        <v>2.6577962956986015E-2</v>
      </c>
      <c r="T36" s="4">
        <v>3.5464968139617359E-2</v>
      </c>
      <c r="U36" s="4">
        <v>3.0607744355318576E-2</v>
      </c>
      <c r="V36" s="4">
        <v>2.6841273531620122E-2</v>
      </c>
      <c r="W36" s="4">
        <v>4.1044701067294923E-2</v>
      </c>
      <c r="X36" s="4">
        <v>4.2858905483029487E-2</v>
      </c>
      <c r="Y36" s="4">
        <v>2.0143802318693615E-2</v>
      </c>
      <c r="Z36" s="4">
        <v>3.1461283036473345E-2</v>
      </c>
      <c r="AA36" s="4">
        <v>5.4653941275055552E-2</v>
      </c>
      <c r="AB36" s="4">
        <v>4.9974779455043611E-2</v>
      </c>
      <c r="AC36" s="4">
        <v>3.7840056117876206E-2</v>
      </c>
      <c r="AD36" s="4">
        <v>4.1901106883700814E-2</v>
      </c>
      <c r="AE36" s="4">
        <v>3.7265281032106058E-2</v>
      </c>
      <c r="AF36" s="4">
        <v>2.0468773500867961E-2</v>
      </c>
      <c r="AG36" s="4">
        <v>5.1637460852083525E-2</v>
      </c>
      <c r="AH36" s="4">
        <v>7.9559007932891473E-2</v>
      </c>
      <c r="AI36" s="4">
        <v>3.8286492089707538E-2</v>
      </c>
      <c r="AJ36" s="4">
        <v>4.6736119182752188E-2</v>
      </c>
      <c r="AK36" s="4">
        <v>1.9249092414433091E-2</v>
      </c>
      <c r="AL36" s="4">
        <v>8.3017378410775583E-2</v>
      </c>
      <c r="AM36" s="4">
        <v>5.1146580900861591E-2</v>
      </c>
      <c r="AN36" s="4">
        <v>3.5412063271096791E-2</v>
      </c>
      <c r="AO36" s="4">
        <v>3.0378078958780537E-2</v>
      </c>
      <c r="AP36" s="4">
        <v>5.0821900196661184E-2</v>
      </c>
      <c r="AQ36" s="4">
        <v>4.8585468601145501E-2</v>
      </c>
      <c r="AR36" s="4">
        <v>4.6762795118280513E-2</v>
      </c>
      <c r="AS36" s="4">
        <v>2.0516958596490359E-2</v>
      </c>
      <c r="AT36" s="4">
        <v>4.8820004444383287E-2</v>
      </c>
      <c r="AU36" s="4">
        <v>2.0166631727364839E-2</v>
      </c>
      <c r="AV36" s="4">
        <v>2.9246982182091579E-2</v>
      </c>
      <c r="AW36" s="4">
        <v>5.4406610204362688E-2</v>
      </c>
      <c r="AX36" s="4">
        <v>6.0739445216989651E-2</v>
      </c>
      <c r="AY36" s="4">
        <v>4.3616027439977549E-2</v>
      </c>
    </row>
    <row r="37" spans="1:51" x14ac:dyDescent="0.2">
      <c r="A37" s="5">
        <v>34</v>
      </c>
      <c r="B37" s="4">
        <v>3.3359564488474838E-2</v>
      </c>
      <c r="C37" s="4">
        <v>2.008457585298528E-2</v>
      </c>
      <c r="D37" s="4">
        <v>2.4293224863591034E-2</v>
      </c>
      <c r="E37" s="4">
        <v>5.230890072203364E-2</v>
      </c>
      <c r="F37" s="4">
        <v>3.1654346781286952E-2</v>
      </c>
      <c r="G37" s="4">
        <v>2.7664829044080255E-2</v>
      </c>
      <c r="H37" s="4">
        <v>1.479015868733701E-2</v>
      </c>
      <c r="I37" s="4">
        <v>3.594560686538191E-2</v>
      </c>
      <c r="J37" s="4">
        <v>3.8510168124904071E-2</v>
      </c>
      <c r="K37" s="4">
        <v>5.3241678384564776E-2</v>
      </c>
      <c r="L37" s="4">
        <v>1.7086008688492371E-2</v>
      </c>
      <c r="M37" s="4">
        <v>3.7066016364430118E-2</v>
      </c>
      <c r="N37" s="4">
        <v>3.4181141330375843E-2</v>
      </c>
      <c r="O37" s="4">
        <v>4.8152584193682943E-2</v>
      </c>
      <c r="P37" s="4">
        <v>6.6228159829708685E-2</v>
      </c>
      <c r="Q37" s="4">
        <v>2.0202056390859407E-2</v>
      </c>
      <c r="R37" s="4">
        <v>3.1747567205275141E-2</v>
      </c>
      <c r="S37" s="4">
        <v>2.9219297551059321E-2</v>
      </c>
      <c r="T37" s="4">
        <v>3.3814390152820825E-2</v>
      </c>
      <c r="U37" s="4">
        <v>2.8622799506874338E-2</v>
      </c>
      <c r="V37" s="4">
        <v>2.7419800537712577E-2</v>
      </c>
      <c r="W37" s="4">
        <v>4.201259958207669E-2</v>
      </c>
      <c r="X37" s="4">
        <v>5.0777457876525406E-2</v>
      </c>
      <c r="Y37" s="4">
        <v>1.8048051747324899E-2</v>
      </c>
      <c r="Z37" s="4">
        <v>3.3441925527876691E-2</v>
      </c>
      <c r="AA37" s="4">
        <v>5.9734472187439436E-2</v>
      </c>
      <c r="AB37" s="4">
        <v>5.5861715388651638E-2</v>
      </c>
      <c r="AC37" s="4">
        <v>3.8782731596175325E-2</v>
      </c>
      <c r="AD37" s="4">
        <v>3.7283997572959596E-2</v>
      </c>
      <c r="AE37" s="4">
        <v>3.5130868558506667E-2</v>
      </c>
      <c r="AF37" s="4">
        <v>2.026896894431645E-2</v>
      </c>
      <c r="AG37" s="4">
        <v>4.9896117762551893E-2</v>
      </c>
      <c r="AH37" s="4">
        <v>7.7768614196043806E-2</v>
      </c>
      <c r="AI37" s="4">
        <v>3.4799671022083575E-2</v>
      </c>
      <c r="AJ37" s="4">
        <v>4.3995916119295125E-2</v>
      </c>
      <c r="AK37" s="4">
        <v>2.2046167588289416E-2</v>
      </c>
      <c r="AL37" s="4">
        <v>8.0908733046930442E-2</v>
      </c>
      <c r="AM37" s="4">
        <v>5.4453310622951452E-2</v>
      </c>
      <c r="AN37" s="4">
        <v>3.3938785999080394E-2</v>
      </c>
      <c r="AO37" s="4">
        <v>3.6806296757074718E-2</v>
      </c>
      <c r="AP37" s="4">
        <v>5.5162770406603633E-2</v>
      </c>
      <c r="AQ37" s="4">
        <v>4.8186802489312716E-2</v>
      </c>
      <c r="AR37" s="4">
        <v>4.3438316247222497E-2</v>
      </c>
      <c r="AS37" s="4">
        <v>2.0167322186148303E-2</v>
      </c>
      <c r="AT37" s="4">
        <v>4.6201713644845252E-2</v>
      </c>
      <c r="AU37" s="4">
        <v>1.602314872345894E-2</v>
      </c>
      <c r="AV37" s="4">
        <v>3.2516979192007904E-2</v>
      </c>
      <c r="AW37" s="4">
        <v>5.5897157892455529E-2</v>
      </c>
      <c r="AX37" s="4">
        <v>6.2520683537886104E-2</v>
      </c>
      <c r="AY37" s="4">
        <v>4.5549629542264568E-2</v>
      </c>
    </row>
    <row r="38" spans="1:51" x14ac:dyDescent="0.2">
      <c r="A38" s="5">
        <v>35</v>
      </c>
      <c r="B38" s="4">
        <v>3.6997817954273787E-2</v>
      </c>
      <c r="C38" s="4">
        <v>1.8292028882808238E-2</v>
      </c>
      <c r="D38" s="4">
        <v>2.0134796639967003E-2</v>
      </c>
      <c r="E38" s="4">
        <v>5.5382686795907528E-2</v>
      </c>
      <c r="F38" s="4">
        <v>3.1147382833379665E-2</v>
      </c>
      <c r="G38" s="4">
        <v>2.3858641364013878E-2</v>
      </c>
      <c r="H38" s="4">
        <v>1.6516567423693614E-2</v>
      </c>
      <c r="I38" s="4">
        <v>3.4502448040586636E-2</v>
      </c>
      <c r="J38" s="4">
        <v>4.1617638419107233E-2</v>
      </c>
      <c r="K38" s="4">
        <v>5.6553666461850935E-2</v>
      </c>
      <c r="L38" s="4">
        <v>1.4907706311829633E-2</v>
      </c>
      <c r="M38" s="4">
        <v>3.6549801328732166E-2</v>
      </c>
      <c r="N38" s="4">
        <v>3.7129200603870427E-2</v>
      </c>
      <c r="O38" s="4">
        <v>4.4727527132926145E-2</v>
      </c>
      <c r="P38" s="4">
        <v>6.7769149920317892E-2</v>
      </c>
      <c r="Q38" s="4">
        <v>1.6597679484694601E-2</v>
      </c>
      <c r="R38" s="4">
        <v>3.6158262274342212E-2</v>
      </c>
      <c r="S38" s="4">
        <v>2.8989094235119771E-2</v>
      </c>
      <c r="T38" s="4">
        <v>3.6822782884224338E-2</v>
      </c>
      <c r="U38" s="4">
        <v>3.5308176405140571E-2</v>
      </c>
      <c r="V38" s="4">
        <v>2.4778092472185355E-2</v>
      </c>
      <c r="W38" s="4">
        <v>4.5241761779789114E-2</v>
      </c>
      <c r="X38" s="4">
        <v>5.0184158262998678E-2</v>
      </c>
      <c r="Y38" s="4">
        <v>1.6581250144619138E-2</v>
      </c>
      <c r="Z38" s="4">
        <v>3.6940772669920706E-2</v>
      </c>
      <c r="AA38" s="4">
        <v>5.9909293665726733E-2</v>
      </c>
      <c r="AB38" s="4">
        <v>5.094742845903652E-2</v>
      </c>
      <c r="AC38" s="4">
        <v>4.6822916001294485E-2</v>
      </c>
      <c r="AD38" s="4">
        <v>3.8463589637383749E-2</v>
      </c>
      <c r="AE38" s="4">
        <v>4.1605904506986577E-2</v>
      </c>
      <c r="AF38" s="4">
        <v>2.278707773928848E-2</v>
      </c>
      <c r="AG38" s="4">
        <v>5.5357466481716966E-2</v>
      </c>
      <c r="AH38" s="4">
        <v>8.1976119819265489E-2</v>
      </c>
      <c r="AI38" s="4">
        <v>3.5916035449442989E-2</v>
      </c>
      <c r="AJ38" s="4">
        <v>4.5591668857172703E-2</v>
      </c>
      <c r="AK38" s="4">
        <v>2.1469824273087398E-2</v>
      </c>
      <c r="AL38" s="4">
        <v>8.1027923203229393E-2</v>
      </c>
      <c r="AM38" s="4">
        <v>5.018316934576867E-2</v>
      </c>
      <c r="AN38" s="4">
        <v>3.5293267386662781E-2</v>
      </c>
      <c r="AO38" s="4">
        <v>3.5334686195183436E-2</v>
      </c>
      <c r="AP38" s="4">
        <v>5.7002876758852752E-2</v>
      </c>
      <c r="AQ38" s="4">
        <v>3.8492953910734796E-2</v>
      </c>
      <c r="AR38" s="4">
        <v>4.5287277932588126E-2</v>
      </c>
      <c r="AS38" s="4">
        <v>2.0675965861853395E-2</v>
      </c>
      <c r="AT38" s="4">
        <v>4.7452633703842909E-2</v>
      </c>
      <c r="AU38" s="4">
        <v>1.6124989552519443E-2</v>
      </c>
      <c r="AV38" s="4">
        <v>2.8608583127786125E-2</v>
      </c>
      <c r="AW38" s="4">
        <v>5.7144809703578048E-2</v>
      </c>
      <c r="AX38" s="4">
        <v>5.7136003749000658E-2</v>
      </c>
      <c r="AY38" s="4">
        <v>4.2695678740696748E-2</v>
      </c>
    </row>
    <row r="39" spans="1:51" x14ac:dyDescent="0.2">
      <c r="A39" s="5">
        <v>36</v>
      </c>
      <c r="B39" s="4">
        <v>3.4798013557281404E-2</v>
      </c>
      <c r="C39" s="4">
        <v>1.641982886307794E-2</v>
      </c>
      <c r="D39" s="4">
        <v>2.5392506079282385E-2</v>
      </c>
      <c r="E39" s="4">
        <v>5.9689927237526363E-2</v>
      </c>
      <c r="F39" s="4">
        <v>2.733621767696957E-2</v>
      </c>
      <c r="G39" s="4">
        <v>2.3292084652928837E-2</v>
      </c>
      <c r="H39" s="4">
        <v>1.7653389781074419E-2</v>
      </c>
      <c r="I39" s="4">
        <v>3.4867308747413922E-2</v>
      </c>
      <c r="J39" s="4">
        <v>4.2926692629844103E-2</v>
      </c>
      <c r="K39" s="4">
        <v>5.6462283244278863E-2</v>
      </c>
      <c r="L39" s="4">
        <v>1.198825443888764E-2</v>
      </c>
      <c r="M39" s="4">
        <v>3.4742224680475185E-2</v>
      </c>
      <c r="N39" s="4">
        <v>4.0434057381121845E-2</v>
      </c>
      <c r="O39" s="4">
        <v>4.4509237131247492E-2</v>
      </c>
      <c r="P39" s="4">
        <v>6.6539839477738713E-2</v>
      </c>
      <c r="Q39" s="4">
        <v>1.9565084150975381E-2</v>
      </c>
      <c r="R39" s="4">
        <v>3.7798510648908108E-2</v>
      </c>
      <c r="S39" s="4">
        <v>2.7391650796131154E-2</v>
      </c>
      <c r="T39" s="4">
        <v>4.1392231944641582E-2</v>
      </c>
      <c r="U39" s="4">
        <v>4.4635627359743649E-2</v>
      </c>
      <c r="V39" s="4">
        <v>2.5712832929054723E-2</v>
      </c>
      <c r="W39" s="4">
        <v>4.0446310628636656E-2</v>
      </c>
      <c r="X39" s="4">
        <v>4.5244281816397683E-2</v>
      </c>
      <c r="Y39" s="4">
        <v>1.7304521875493289E-2</v>
      </c>
      <c r="Z39" s="4">
        <v>4.3843981512147245E-2</v>
      </c>
      <c r="AA39" s="4">
        <v>6.3263342225346644E-2</v>
      </c>
      <c r="AB39" s="4">
        <v>5.3983005013609968E-2</v>
      </c>
      <c r="AC39" s="4">
        <v>4.7024446319318139E-2</v>
      </c>
      <c r="AD39" s="4">
        <v>3.9781314021823881E-2</v>
      </c>
      <c r="AE39" s="4">
        <v>3.6353380634259379E-2</v>
      </c>
      <c r="AF39" s="4">
        <v>2.7050904373249241E-2</v>
      </c>
      <c r="AG39" s="4">
        <v>6.0953873454948147E-2</v>
      </c>
      <c r="AH39" s="4">
        <v>8.2061972910405331E-2</v>
      </c>
      <c r="AI39" s="4">
        <v>3.727610340610462E-2</v>
      </c>
      <c r="AJ39" s="4">
        <v>3.9886684875222143E-2</v>
      </c>
      <c r="AK39" s="4">
        <v>2.0889802080212509E-2</v>
      </c>
      <c r="AL39" s="4">
        <v>9.3001948837891368E-2</v>
      </c>
      <c r="AM39" s="4">
        <v>5.3030562953024475E-2</v>
      </c>
      <c r="AN39" s="4">
        <v>3.1808729250959428E-2</v>
      </c>
      <c r="AO39" s="4">
        <v>3.6691851910926471E-2</v>
      </c>
      <c r="AP39" s="4">
        <v>6.3491771899165592E-2</v>
      </c>
      <c r="AQ39" s="4">
        <v>4.1716316108314944E-2</v>
      </c>
      <c r="AR39" s="4">
        <v>5.0389878622219331E-2</v>
      </c>
      <c r="AS39" s="4">
        <v>1.7475986799663005E-2</v>
      </c>
      <c r="AT39" s="4">
        <v>4.5577822471594594E-2</v>
      </c>
      <c r="AU39" s="4">
        <v>1.7466790698067551E-2</v>
      </c>
      <c r="AV39" s="4">
        <v>2.6316012131666233E-2</v>
      </c>
      <c r="AW39" s="4">
        <v>5.6013502522555964E-2</v>
      </c>
      <c r="AX39" s="4">
        <v>6.2709457611771838E-2</v>
      </c>
      <c r="AY39" s="4">
        <v>4.0049515882568068E-2</v>
      </c>
    </row>
    <row r="40" spans="1:51" x14ac:dyDescent="0.2">
      <c r="A40" s="5">
        <v>37</v>
      </c>
      <c r="B40" s="4">
        <v>3.7330557733343164E-2</v>
      </c>
      <c r="C40" s="4">
        <v>1.8953163651813994E-2</v>
      </c>
      <c r="D40" s="4">
        <v>2.618628512306757E-2</v>
      </c>
      <c r="E40" s="4">
        <v>5.8989854137698354E-2</v>
      </c>
      <c r="F40" s="4">
        <v>2.5143612839954772E-2</v>
      </c>
      <c r="G40" s="4">
        <v>2.2905968630950062E-2</v>
      </c>
      <c r="H40" s="4">
        <v>1.6178455878884012E-2</v>
      </c>
      <c r="I40" s="4">
        <v>3.4620766103736995E-2</v>
      </c>
      <c r="J40" s="4">
        <v>4.3152383600844502E-2</v>
      </c>
      <c r="K40" s="4">
        <v>5.9024879096737731E-2</v>
      </c>
      <c r="L40" s="4">
        <v>1.2360623241495445E-2</v>
      </c>
      <c r="M40" s="4">
        <v>3.2071586089607709E-2</v>
      </c>
      <c r="N40" s="4">
        <v>4.3660115348974071E-2</v>
      </c>
      <c r="O40" s="4">
        <v>4.5368499931129236E-2</v>
      </c>
      <c r="P40" s="4">
        <v>6.8315732682034697E-2</v>
      </c>
      <c r="Q40" s="4">
        <v>1.9389418647166701E-2</v>
      </c>
      <c r="R40" s="4">
        <v>3.2861584666228308E-2</v>
      </c>
      <c r="S40" s="4">
        <v>3.0857200923684887E-2</v>
      </c>
      <c r="T40" s="4">
        <v>4.116718719965861E-2</v>
      </c>
      <c r="U40" s="4">
        <v>4.7240491188751142E-2</v>
      </c>
      <c r="V40" s="4">
        <v>2.6237589621977839E-2</v>
      </c>
      <c r="W40" s="4">
        <v>4.6011215466314821E-2</v>
      </c>
      <c r="X40" s="4">
        <v>4.7984949254682191E-2</v>
      </c>
      <c r="Y40" s="4">
        <v>2.1261420734563184E-2</v>
      </c>
      <c r="Z40" s="4">
        <v>4.3953676899115723E-2</v>
      </c>
      <c r="AA40" s="4">
        <v>6.3903176670724413E-2</v>
      </c>
      <c r="AB40" s="4">
        <v>5.4039856764884771E-2</v>
      </c>
      <c r="AC40" s="4">
        <v>4.7050630745817598E-2</v>
      </c>
      <c r="AD40" s="4">
        <v>3.3819821755471477E-2</v>
      </c>
      <c r="AE40" s="4">
        <v>3.7188475043287796E-2</v>
      </c>
      <c r="AF40" s="4">
        <v>2.3499996790842959E-2</v>
      </c>
      <c r="AG40" s="4">
        <v>5.7900615095165718E-2</v>
      </c>
      <c r="AH40" s="4">
        <v>7.5258169763175453E-2</v>
      </c>
      <c r="AI40" s="4">
        <v>4.0578181973031917E-2</v>
      </c>
      <c r="AJ40" s="4">
        <v>4.5433903182265499E-2</v>
      </c>
      <c r="AK40" s="4">
        <v>1.5466329976773285E-2</v>
      </c>
      <c r="AL40" s="4">
        <v>9.2121272200601442E-2</v>
      </c>
      <c r="AM40" s="4">
        <v>5.0649448796334214E-2</v>
      </c>
      <c r="AN40" s="4">
        <v>3.1471910359600515E-2</v>
      </c>
      <c r="AO40" s="4">
        <v>3.9743442877238112E-2</v>
      </c>
      <c r="AP40" s="4">
        <v>6.5461818438676975E-2</v>
      </c>
      <c r="AQ40" s="4">
        <v>4.0292913739254643E-2</v>
      </c>
      <c r="AR40" s="4">
        <v>4.778268087282618E-2</v>
      </c>
      <c r="AS40" s="4">
        <v>1.8069809964065708E-2</v>
      </c>
      <c r="AT40" s="4">
        <v>3.9746572456843626E-2</v>
      </c>
      <c r="AU40" s="4">
        <v>2.1501424677247621E-2</v>
      </c>
      <c r="AV40" s="4">
        <v>2.643852679897539E-2</v>
      </c>
      <c r="AW40" s="4">
        <v>5.2517376761236308E-2</v>
      </c>
      <c r="AX40" s="4">
        <v>6.506681259874468E-2</v>
      </c>
      <c r="AY40" s="4">
        <v>3.8595976734497529E-2</v>
      </c>
    </row>
    <row r="41" spans="1:51" x14ac:dyDescent="0.2">
      <c r="A41" s="5">
        <v>38</v>
      </c>
      <c r="B41" s="4">
        <v>3.7749459894273946E-2</v>
      </c>
      <c r="C41" s="4">
        <v>1.9868050503925701E-2</v>
      </c>
      <c r="D41" s="4">
        <v>2.4123452087525424E-2</v>
      </c>
      <c r="E41" s="4">
        <v>5.7139351477812579E-2</v>
      </c>
      <c r="F41" s="4">
        <v>2.3960287485933651E-2</v>
      </c>
      <c r="G41" s="4">
        <v>2.3917657710620644E-2</v>
      </c>
      <c r="H41" s="4">
        <v>1.5385428805657374E-2</v>
      </c>
      <c r="I41" s="4">
        <v>3.660080232091497E-2</v>
      </c>
      <c r="J41" s="4">
        <v>4.7329561827375285E-2</v>
      </c>
      <c r="K41" s="4">
        <v>5.3032417498609319E-2</v>
      </c>
      <c r="L41" s="4">
        <v>1.1777185846531936E-2</v>
      </c>
      <c r="M41" s="4">
        <v>3.1374027987946682E-2</v>
      </c>
      <c r="N41" s="4">
        <v>4.4999565702505726E-2</v>
      </c>
      <c r="O41" s="4">
        <v>4.3041663390492924E-2</v>
      </c>
      <c r="P41" s="4">
        <v>6.6712614765208039E-2</v>
      </c>
      <c r="Q41" s="4">
        <v>2.0146753613847108E-2</v>
      </c>
      <c r="R41" s="4">
        <v>3.7237644073004651E-2</v>
      </c>
      <c r="S41" s="4">
        <v>3.1879488810961365E-2</v>
      </c>
      <c r="T41" s="4">
        <v>3.3711733078379817E-2</v>
      </c>
      <c r="U41" s="4">
        <v>4.2258000251037743E-2</v>
      </c>
      <c r="V41" s="4">
        <v>3.0485447512545505E-2</v>
      </c>
      <c r="W41" s="4">
        <v>4.759391946365725E-2</v>
      </c>
      <c r="X41" s="4">
        <v>4.4524218791674203E-2</v>
      </c>
      <c r="Y41" s="4">
        <v>2.7246752471031466E-2</v>
      </c>
      <c r="Z41" s="4">
        <v>3.8578719169070012E-2</v>
      </c>
      <c r="AA41" s="4">
        <v>7.1892165654614065E-2</v>
      </c>
      <c r="AB41" s="4">
        <v>5.3334770208672187E-2</v>
      </c>
      <c r="AC41" s="4">
        <v>4.7885485690893827E-2</v>
      </c>
      <c r="AD41" s="4">
        <v>3.2408591028828912E-2</v>
      </c>
      <c r="AE41" s="4">
        <v>3.7448542306160224E-2</v>
      </c>
      <c r="AF41" s="4">
        <v>2.1275847235226727E-2</v>
      </c>
      <c r="AG41" s="4">
        <v>6.4128653341692876E-2</v>
      </c>
      <c r="AH41" s="4">
        <v>8.0347047046949102E-2</v>
      </c>
      <c r="AI41" s="4">
        <v>4.7149332314581648E-2</v>
      </c>
      <c r="AJ41" s="4">
        <v>4.6736638524939908E-2</v>
      </c>
      <c r="AK41" s="4">
        <v>1.3442828034448054E-2</v>
      </c>
      <c r="AL41" s="4">
        <v>9.483594330130328E-2</v>
      </c>
      <c r="AM41" s="4">
        <v>3.9138719119500204E-2</v>
      </c>
      <c r="AN41" s="4">
        <v>3.0141606626122624E-2</v>
      </c>
      <c r="AO41" s="4">
        <v>3.8222751855280339E-2</v>
      </c>
      <c r="AP41" s="4">
        <v>6.9765656087299996E-2</v>
      </c>
      <c r="AQ41" s="4">
        <v>4.1538992242673621E-2</v>
      </c>
      <c r="AR41" s="4">
        <v>4.6063834418802165E-2</v>
      </c>
      <c r="AS41" s="4">
        <v>2.179655325894481E-2</v>
      </c>
      <c r="AT41" s="4">
        <v>3.937522137877833E-2</v>
      </c>
      <c r="AU41" s="4">
        <v>2.4315002487006028E-2</v>
      </c>
      <c r="AV41" s="4">
        <v>2.2741001594371653E-2</v>
      </c>
      <c r="AW41" s="4">
        <v>4.8574462226545836E-2</v>
      </c>
      <c r="AX41" s="4">
        <v>5.9349568349815279E-2</v>
      </c>
      <c r="AY41" s="4">
        <v>3.1744853135837331E-2</v>
      </c>
    </row>
    <row r="42" spans="1:51" x14ac:dyDescent="0.2">
      <c r="A42" s="5">
        <v>39</v>
      </c>
      <c r="B42" s="4">
        <v>3.356929751088375E-2</v>
      </c>
      <c r="C42" s="4">
        <v>2.0501164384826406E-2</v>
      </c>
      <c r="D42" s="4">
        <v>2.7988548141463915E-2</v>
      </c>
      <c r="E42" s="4">
        <v>6.3282214432390405E-2</v>
      </c>
      <c r="F42" s="4">
        <v>2.7180669350715524E-2</v>
      </c>
      <c r="G42" s="4">
        <v>2.65581931384022E-2</v>
      </c>
      <c r="H42" s="4">
        <v>1.8058447156922557E-2</v>
      </c>
      <c r="I42" s="4">
        <v>3.3931809717192632E-2</v>
      </c>
      <c r="J42" s="4">
        <v>4.7898508385110013E-2</v>
      </c>
      <c r="K42" s="4">
        <v>5.8630265014510956E-2</v>
      </c>
      <c r="L42" s="4">
        <v>1.3089737996974857E-2</v>
      </c>
      <c r="M42" s="4">
        <v>3.2143829116201825E-2</v>
      </c>
      <c r="N42" s="4">
        <v>4.8596506990307389E-2</v>
      </c>
      <c r="O42" s="4">
        <v>3.8136272670352397E-2</v>
      </c>
      <c r="P42" s="4">
        <v>6.307236651637968E-2</v>
      </c>
      <c r="Q42" s="4">
        <v>1.8578068532026946E-2</v>
      </c>
      <c r="R42" s="4">
        <v>3.9107895329010163E-2</v>
      </c>
      <c r="S42" s="4">
        <v>3.5682710650422333E-2</v>
      </c>
      <c r="T42" s="4">
        <v>3.4186529014748557E-2</v>
      </c>
      <c r="U42" s="4">
        <v>4.0937277468040531E-2</v>
      </c>
      <c r="V42" s="4">
        <v>2.6444103610954065E-2</v>
      </c>
      <c r="W42" s="4">
        <v>4.59453412119308E-2</v>
      </c>
      <c r="X42" s="4">
        <v>4.0198857146409916E-2</v>
      </c>
      <c r="Y42" s="4">
        <v>2.3852361131586373E-2</v>
      </c>
      <c r="Z42" s="4">
        <v>3.5730208527977599E-2</v>
      </c>
      <c r="AA42" s="4">
        <v>5.9347359634647615E-2</v>
      </c>
      <c r="AB42" s="4">
        <v>5.1897209671856549E-2</v>
      </c>
      <c r="AC42" s="4">
        <v>5.1425112949464037E-2</v>
      </c>
      <c r="AD42" s="4">
        <v>3.0973944072722696E-2</v>
      </c>
      <c r="AE42" s="4">
        <v>3.6859028538844575E-2</v>
      </c>
      <c r="AF42" s="4">
        <v>2.0999392888350329E-2</v>
      </c>
      <c r="AG42" s="4">
        <v>6.5744659415820042E-2</v>
      </c>
      <c r="AH42" s="4">
        <v>7.8182188150997589E-2</v>
      </c>
      <c r="AI42" s="4">
        <v>4.6673062676821218E-2</v>
      </c>
      <c r="AJ42" s="4">
        <v>4.4724496308232338E-2</v>
      </c>
      <c r="AK42" s="4">
        <v>1.2684197476249003E-2</v>
      </c>
      <c r="AL42" s="4">
        <v>9.670076392371052E-2</v>
      </c>
      <c r="AM42" s="4">
        <v>3.5754252368067604E-2</v>
      </c>
      <c r="AN42" s="4">
        <v>3.1655940022988847E-2</v>
      </c>
      <c r="AO42" s="4">
        <v>3.8136416736925492E-2</v>
      </c>
      <c r="AP42" s="4">
        <v>7.1761589780391571E-2</v>
      </c>
      <c r="AQ42" s="4">
        <v>4.18209333902127E-2</v>
      </c>
      <c r="AR42" s="4">
        <v>4.2272016923071781E-2</v>
      </c>
      <c r="AS42" s="4">
        <v>2.6284998339748768E-2</v>
      </c>
      <c r="AT42" s="4">
        <v>3.6503063905946764E-2</v>
      </c>
      <c r="AU42" s="4">
        <v>2.2994041360887278E-2</v>
      </c>
      <c r="AV42" s="4">
        <v>2.3237052275273343E-2</v>
      </c>
      <c r="AW42" s="4">
        <v>4.1755905584320852E-2</v>
      </c>
      <c r="AX42" s="4">
        <v>6.0554357082405016E-2</v>
      </c>
      <c r="AY42" s="4">
        <v>3.6193705206893058E-2</v>
      </c>
    </row>
    <row r="43" spans="1:51" x14ac:dyDescent="0.2">
      <c r="A43" s="5">
        <v>40</v>
      </c>
      <c r="B43" s="4">
        <v>3.2557108679251552E-2</v>
      </c>
      <c r="C43" s="4">
        <v>1.8786923377584374E-2</v>
      </c>
      <c r="D43" s="4">
        <v>2.7283089947106157E-2</v>
      </c>
      <c r="E43" s="4">
        <v>6.1466584064759709E-2</v>
      </c>
      <c r="F43" s="4">
        <v>2.8801822978072128E-2</v>
      </c>
      <c r="G43" s="4">
        <v>2.6547942225293553E-2</v>
      </c>
      <c r="H43" s="4">
        <v>1.8406187181140354E-2</v>
      </c>
      <c r="I43" s="4">
        <v>3.9796049385134091E-2</v>
      </c>
      <c r="J43" s="4">
        <v>4.8311862896487492E-2</v>
      </c>
      <c r="K43" s="4">
        <v>5.7233221447481095E-2</v>
      </c>
      <c r="L43" s="4">
        <v>1.6100248650755152E-2</v>
      </c>
      <c r="M43" s="4">
        <v>3.4291015243215803E-2</v>
      </c>
      <c r="N43" s="4">
        <v>4.8600383663031835E-2</v>
      </c>
      <c r="O43" s="4">
        <v>2.8928193861376447E-2</v>
      </c>
      <c r="P43" s="4">
        <v>7.1676391663248212E-2</v>
      </c>
      <c r="Q43" s="4">
        <v>1.9192595598509232E-2</v>
      </c>
      <c r="R43" s="4">
        <v>4.366735543658274E-2</v>
      </c>
      <c r="S43" s="4">
        <v>3.6705349062220817E-2</v>
      </c>
      <c r="T43" s="4">
        <v>3.5824523517268551E-2</v>
      </c>
      <c r="U43" s="4">
        <v>4.3616216167375758E-2</v>
      </c>
      <c r="V43" s="4">
        <v>2.5095662236869865E-2</v>
      </c>
      <c r="W43" s="4">
        <v>4.8258082744364397E-2</v>
      </c>
      <c r="X43" s="4">
        <v>3.7341987947102286E-2</v>
      </c>
      <c r="Y43" s="4">
        <v>2.6885798279451416E-2</v>
      </c>
      <c r="Z43" s="4">
        <v>4.0288190326928625E-2</v>
      </c>
      <c r="AA43" s="4">
        <v>5.6090522015349399E-2</v>
      </c>
      <c r="AB43" s="4">
        <v>5.2308234472851822E-2</v>
      </c>
      <c r="AC43" s="4">
        <v>5.4480387016449375E-2</v>
      </c>
      <c r="AD43" s="4">
        <v>2.6012029145555265E-2</v>
      </c>
      <c r="AE43" s="4">
        <v>3.748621198907779E-2</v>
      </c>
      <c r="AF43" s="4">
        <v>2.3358648387876081E-2</v>
      </c>
      <c r="AG43" s="4">
        <v>7.018365344183905E-2</v>
      </c>
      <c r="AH43" s="4">
        <v>8.5465686009642883E-2</v>
      </c>
      <c r="AI43" s="4">
        <v>4.8316321496140693E-2</v>
      </c>
      <c r="AJ43" s="4">
        <v>4.2783111744260464E-2</v>
      </c>
      <c r="AK43" s="4">
        <v>1.3397335547243386E-2</v>
      </c>
      <c r="AL43" s="4">
        <v>9.5065282718635888E-2</v>
      </c>
      <c r="AM43" s="4">
        <v>3.5083737007603762E-2</v>
      </c>
      <c r="AN43" s="4">
        <v>2.7908442592494375E-2</v>
      </c>
      <c r="AO43" s="4">
        <v>4.1574112810809548E-2</v>
      </c>
      <c r="AP43" s="4">
        <v>6.7179700155283795E-2</v>
      </c>
      <c r="AQ43" s="4">
        <v>3.545819900528157E-2</v>
      </c>
      <c r="AR43" s="4">
        <v>5.0174329152204551E-2</v>
      </c>
      <c r="AS43" s="4">
        <v>2.769154080283432E-2</v>
      </c>
      <c r="AT43" s="4">
        <v>3.8031778301648153E-2</v>
      </c>
      <c r="AU43" s="4">
        <v>2.2672044655574458E-2</v>
      </c>
      <c r="AV43" s="4">
        <v>2.4594668005572987E-2</v>
      </c>
      <c r="AW43" s="4">
        <v>3.8474990904584207E-2</v>
      </c>
      <c r="AX43" s="4">
        <v>5.2261272531914857E-2</v>
      </c>
      <c r="AY43" s="4">
        <v>3.9701636541793477E-2</v>
      </c>
    </row>
    <row r="44" spans="1:51" x14ac:dyDescent="0.2">
      <c r="A44" s="5">
        <v>41</v>
      </c>
      <c r="B44" s="4">
        <v>3.2879206577254454E-2</v>
      </c>
      <c r="C44" s="4">
        <v>2.1551133058668272E-2</v>
      </c>
      <c r="D44" s="4">
        <v>2.4518105104399189E-2</v>
      </c>
      <c r="E44" s="4">
        <v>5.8251235472874488E-2</v>
      </c>
      <c r="F44" s="4">
        <v>2.7998177194374609E-2</v>
      </c>
      <c r="G44" s="4">
        <v>2.3271038218337918E-2</v>
      </c>
      <c r="H44" s="4">
        <v>1.9628360239624432E-2</v>
      </c>
      <c r="I44" s="4">
        <v>3.5815746497497969E-2</v>
      </c>
      <c r="J44" s="4">
        <v>4.5507343385804359E-2</v>
      </c>
      <c r="K44" s="4">
        <v>5.2064258383793839E-2</v>
      </c>
      <c r="L44" s="4">
        <v>1.6486109686239998E-2</v>
      </c>
      <c r="M44" s="4">
        <v>3.3581329979890641E-2</v>
      </c>
      <c r="N44" s="4">
        <v>5.0275811642143647E-2</v>
      </c>
      <c r="O44" s="4">
        <v>3.0745309379028925E-2</v>
      </c>
      <c r="P44" s="4">
        <v>7.0336763223119964E-2</v>
      </c>
      <c r="Q44" s="4">
        <v>2.3537349654087651E-2</v>
      </c>
      <c r="R44" s="4">
        <v>4.2223940149637006E-2</v>
      </c>
      <c r="S44" s="4">
        <v>3.6285897908248557E-2</v>
      </c>
      <c r="T44" s="4">
        <v>3.8141363786364214E-2</v>
      </c>
      <c r="U44" s="4">
        <v>4.3760841919076698E-2</v>
      </c>
      <c r="V44" s="4">
        <v>2.6587757353644541E-2</v>
      </c>
      <c r="W44" s="4">
        <v>5.0710142086958544E-2</v>
      </c>
      <c r="X44" s="4">
        <v>3.5737765573062484E-2</v>
      </c>
      <c r="Y44" s="4">
        <v>2.5010788343813276E-2</v>
      </c>
      <c r="Z44" s="4">
        <v>3.88422541479626E-2</v>
      </c>
      <c r="AA44" s="4">
        <v>6.640547656508651E-2</v>
      </c>
      <c r="AB44" s="4">
        <v>5.088372463710919E-2</v>
      </c>
      <c r="AC44" s="4">
        <v>6.0189580797719418E-2</v>
      </c>
      <c r="AD44" s="4">
        <v>2.5010040777171581E-2</v>
      </c>
      <c r="AE44" s="4">
        <v>3.2740943272524949E-2</v>
      </c>
      <c r="AF44" s="4">
        <v>2.4513688903658303E-2</v>
      </c>
      <c r="AG44" s="4">
        <v>6.6592959750902597E-2</v>
      </c>
      <c r="AH44" s="4">
        <v>7.7298189571178982E-2</v>
      </c>
      <c r="AI44" s="4">
        <v>4.9079184238693223E-2</v>
      </c>
      <c r="AJ44" s="4">
        <v>4.334872896296961E-2</v>
      </c>
      <c r="AK44" s="4">
        <v>1.5560684707617987E-2</v>
      </c>
      <c r="AL44" s="4">
        <v>9.2791066178821033E-2</v>
      </c>
      <c r="AM44" s="4">
        <v>3.124921763753934E-2</v>
      </c>
      <c r="AN44" s="4">
        <v>2.9983099285493111E-2</v>
      </c>
      <c r="AO44" s="4">
        <v>4.5574859298995456E-2</v>
      </c>
      <c r="AP44" s="4">
        <v>6.7343002005318717E-2</v>
      </c>
      <c r="AQ44" s="4">
        <v>3.6933585751052336E-2</v>
      </c>
      <c r="AR44" s="4">
        <v>4.9276995241122633E-2</v>
      </c>
      <c r="AS44" s="4">
        <v>2.5708021886331686E-2</v>
      </c>
      <c r="AT44" s="4">
        <v>3.7210746803342222E-2</v>
      </c>
      <c r="AU44" s="4">
        <v>2.1422696896314153E-2</v>
      </c>
      <c r="AV44" s="4">
        <v>2.4994701775840147E-2</v>
      </c>
      <c r="AW44" s="4">
        <v>4.1654250415259449E-2</v>
      </c>
      <c r="AX44" s="4">
        <v>5.2849237052567374E-2</v>
      </c>
      <c r="AY44" s="4">
        <v>3.295257030677369E-2</v>
      </c>
    </row>
    <row r="45" spans="1:51" x14ac:dyDescent="0.2">
      <c r="A45" s="5">
        <v>42</v>
      </c>
      <c r="B45" s="4">
        <v>3.630808927189632E-2</v>
      </c>
      <c r="C45" s="4">
        <v>2.645262805364209E-2</v>
      </c>
      <c r="D45" s="4">
        <v>2.3085903052500259E-2</v>
      </c>
      <c r="E45" s="4">
        <v>5.7545338738178263E-2</v>
      </c>
      <c r="F45" s="4">
        <v>3.072442276269767E-2</v>
      </c>
      <c r="G45" s="4">
        <v>2.133125418555477E-2</v>
      </c>
      <c r="H45" s="4">
        <v>1.8804525350114048E-2</v>
      </c>
      <c r="I45" s="4">
        <v>3.6601233959191924E-2</v>
      </c>
      <c r="J45" s="4">
        <v>4.3213761731045637E-2</v>
      </c>
      <c r="K45" s="4">
        <v>5.4783504205725884E-2</v>
      </c>
      <c r="L45" s="4">
        <v>1.6696256739179998E-2</v>
      </c>
      <c r="M45" s="4">
        <v>2.839894468169793E-2</v>
      </c>
      <c r="N45" s="4">
        <v>5.1697190279692384E-2</v>
      </c>
      <c r="O45" s="4">
        <v>3.4249438202707053E-2</v>
      </c>
      <c r="P45" s="4">
        <v>6.8943699485714646E-2</v>
      </c>
      <c r="Q45" s="4">
        <v>2.4818535918431674E-2</v>
      </c>
      <c r="R45" s="4">
        <v>4.3114549667867624E-2</v>
      </c>
      <c r="S45" s="4">
        <v>3.6762268848403647E-2</v>
      </c>
      <c r="T45" s="4">
        <v>3.5363982599555033E-2</v>
      </c>
      <c r="U45" s="4">
        <v>4.8304502211334276E-2</v>
      </c>
      <c r="V45" s="4">
        <v>2.510740313702544E-2</v>
      </c>
      <c r="W45" s="4">
        <v>4.7309145102339689E-2</v>
      </c>
      <c r="X45" s="4">
        <v>3.6100104244856955E-2</v>
      </c>
      <c r="Y45" s="4">
        <v>2.3535631600199308E-2</v>
      </c>
      <c r="Z45" s="4">
        <v>3.8354439865146604E-2</v>
      </c>
      <c r="AA45" s="4">
        <v>6.7402859634088041E-2</v>
      </c>
      <c r="AB45" s="4">
        <v>4.8520708468789767E-2</v>
      </c>
      <c r="AC45" s="4">
        <v>6.7496585965132319E-2</v>
      </c>
      <c r="AD45" s="4">
        <v>2.6844105925580099E-2</v>
      </c>
      <c r="AE45" s="4">
        <v>3.184380543424313E-2</v>
      </c>
      <c r="AF45" s="4">
        <v>2.2921060645192972E-2</v>
      </c>
      <c r="AG45" s="4">
        <v>6.9210034653883548E-2</v>
      </c>
      <c r="AH45" s="4">
        <v>7.3157670136610162E-2</v>
      </c>
      <c r="AI45" s="4">
        <v>4.9502679615546011E-2</v>
      </c>
      <c r="AJ45" s="4">
        <v>4.0560217312713046E-2</v>
      </c>
      <c r="AK45" s="4">
        <v>1.8031864247586214E-2</v>
      </c>
      <c r="AL45" s="4">
        <v>9.0954998154848393E-2</v>
      </c>
      <c r="AM45" s="4">
        <v>3.243833490197754E-2</v>
      </c>
      <c r="AN45" s="4">
        <v>2.8978889806205322E-2</v>
      </c>
      <c r="AO45" s="4">
        <v>4.0785028891640512E-2</v>
      </c>
      <c r="AP45" s="4">
        <v>6.4856407225079668E-2</v>
      </c>
      <c r="AQ45" s="4">
        <v>3.6675495736865897E-2</v>
      </c>
      <c r="AR45" s="4">
        <v>4.6992287464708737E-2</v>
      </c>
      <c r="AS45" s="4">
        <v>2.660888597813129E-2</v>
      </c>
      <c r="AT45" s="4">
        <v>3.9211038345993827E-2</v>
      </c>
      <c r="AU45" s="4">
        <v>2.4090726492252277E-2</v>
      </c>
      <c r="AV45" s="4">
        <v>2.7725763494954453E-2</v>
      </c>
      <c r="AW45" s="4">
        <v>4.3148861476435277E-2</v>
      </c>
      <c r="AX45" s="4">
        <v>5.7937352530333677E-2</v>
      </c>
      <c r="AY45" s="4">
        <v>2.8622482463404583E-2</v>
      </c>
    </row>
    <row r="46" spans="1:51" x14ac:dyDescent="0.2">
      <c r="A46" s="5">
        <v>43</v>
      </c>
      <c r="B46" s="4">
        <v>3.8868355521837254E-2</v>
      </c>
      <c r="C46" s="4">
        <v>2.4947180898850129E-2</v>
      </c>
      <c r="D46" s="4">
        <v>2.4095897129729593E-2</v>
      </c>
      <c r="E46" s="4">
        <v>6.1780809315517181E-2</v>
      </c>
      <c r="F46" s="4">
        <v>3.2557652994496949E-2</v>
      </c>
      <c r="G46" s="4">
        <v>2.0883876662523743E-2</v>
      </c>
      <c r="H46" s="4">
        <v>2.176956857610415E-2</v>
      </c>
      <c r="I46" s="4">
        <v>3.6189014780203754E-2</v>
      </c>
      <c r="J46" s="4">
        <v>4.3300531090397727E-2</v>
      </c>
      <c r="K46" s="4">
        <v>5.8315726446899502E-2</v>
      </c>
      <c r="L46" s="4">
        <v>1.9253231078236132E-2</v>
      </c>
      <c r="M46" s="4">
        <v>1.9053974309488346E-2</v>
      </c>
      <c r="N46" s="4">
        <v>4.6617111591420408E-2</v>
      </c>
      <c r="O46" s="4">
        <v>3.6972160633828278E-2</v>
      </c>
      <c r="P46" s="4">
        <v>7.2123747444131678E-2</v>
      </c>
      <c r="Q46" s="4">
        <v>2.4630068771642508E-2</v>
      </c>
      <c r="R46" s="4">
        <v>4.1840176656519082E-2</v>
      </c>
      <c r="S46" s="4">
        <v>3.7358346662484901E-2</v>
      </c>
      <c r="T46" s="4">
        <v>4.2729549198463466E-2</v>
      </c>
      <c r="U46" s="4">
        <v>4.896396469911464E-2</v>
      </c>
      <c r="V46" s="4">
        <v>2.7696434033259956E-2</v>
      </c>
      <c r="W46" s="4">
        <v>4.975068422898956E-2</v>
      </c>
      <c r="X46" s="4">
        <v>3.1588532032054487E-2</v>
      </c>
      <c r="Y46" s="4">
        <v>2.8312204095816033E-2</v>
      </c>
      <c r="Z46" s="4">
        <v>3.8543283055668738E-2</v>
      </c>
      <c r="AA46" s="4">
        <v>7.1688567323543673E-2</v>
      </c>
      <c r="AB46" s="4">
        <v>5.3009135585544119E-2</v>
      </c>
      <c r="AC46" s="4">
        <v>6.5577241199576489E-2</v>
      </c>
      <c r="AD46" s="4">
        <v>2.8525378353303273E-2</v>
      </c>
      <c r="AE46" s="4">
        <v>2.7510706938033633E-2</v>
      </c>
      <c r="AF46" s="4">
        <v>2.0299405852045895E-2</v>
      </c>
      <c r="AG46" s="4">
        <v>6.8909671317665816E-2</v>
      </c>
      <c r="AH46" s="4">
        <v>7.4002797839369694E-2</v>
      </c>
      <c r="AI46" s="4">
        <v>4.9669625511965382E-2</v>
      </c>
      <c r="AJ46" s="4">
        <v>4.5189362573941828E-2</v>
      </c>
      <c r="AK46" s="4">
        <v>1.7954638809144184E-2</v>
      </c>
      <c r="AL46" s="4">
        <v>8.6995760077014275E-2</v>
      </c>
      <c r="AM46" s="4">
        <v>3.3900353287612858E-2</v>
      </c>
      <c r="AN46" s="4">
        <v>2.5916728281651813E-2</v>
      </c>
      <c r="AO46" s="4">
        <v>4.0788096958578726E-2</v>
      </c>
      <c r="AP46" s="4">
        <v>6.7101990030932882E-2</v>
      </c>
      <c r="AQ46" s="4">
        <v>3.2530082328212154E-2</v>
      </c>
      <c r="AR46" s="4">
        <v>4.3171964442471969E-2</v>
      </c>
      <c r="AS46" s="4">
        <v>2.8137765945897078E-2</v>
      </c>
      <c r="AT46" s="4">
        <v>3.8202143291829568E-2</v>
      </c>
      <c r="AU46" s="4">
        <v>2.4911888990196501E-2</v>
      </c>
      <c r="AV46" s="4">
        <v>2.4619383104557455E-2</v>
      </c>
      <c r="AW46" s="4">
        <v>4.0324018732817116E-2</v>
      </c>
      <c r="AX46" s="4">
        <v>5.226812584326148E-2</v>
      </c>
      <c r="AY46" s="4">
        <v>2.97230439457482E-2</v>
      </c>
    </row>
    <row r="47" spans="1:51" x14ac:dyDescent="0.2">
      <c r="A47" s="5">
        <v>44</v>
      </c>
      <c r="B47" s="4">
        <v>3.4351580719838529E-2</v>
      </c>
      <c r="C47" s="4">
        <v>2.6369860969001215E-2</v>
      </c>
      <c r="D47" s="4">
        <v>2.877659535482998E-2</v>
      </c>
      <c r="E47" s="4">
        <v>6.1214032154723319E-2</v>
      </c>
      <c r="F47" s="4">
        <v>3.0854653829132505E-2</v>
      </c>
      <c r="G47" s="4">
        <v>2.6510062968712934E-2</v>
      </c>
      <c r="H47" s="4">
        <v>2.0302874738765294E-2</v>
      </c>
      <c r="I47" s="4">
        <v>3.55298224178189E-2</v>
      </c>
      <c r="J47" s="4">
        <v>4.650685172527072E-2</v>
      </c>
      <c r="K47" s="4">
        <v>5.8361621692376492E-2</v>
      </c>
      <c r="L47" s="4">
        <v>1.6802891107984219E-2</v>
      </c>
      <c r="M47" s="4">
        <v>2.4814789363255062E-2</v>
      </c>
      <c r="N47" s="4">
        <v>4.0015134631664125E-2</v>
      </c>
      <c r="O47" s="4">
        <v>3.6462043825488691E-2</v>
      </c>
      <c r="P47" s="4">
        <v>6.5006042816233067E-2</v>
      </c>
      <c r="Q47" s="4">
        <v>2.7453946891092512E-2</v>
      </c>
      <c r="R47" s="4">
        <v>4.4342659016510431E-2</v>
      </c>
      <c r="S47" s="4">
        <v>3.2396552036201023E-2</v>
      </c>
      <c r="T47" s="4">
        <v>4.0520037553466212E-2</v>
      </c>
      <c r="U47" s="4">
        <v>3.9480754176340643E-2</v>
      </c>
      <c r="V47" s="4">
        <v>2.9213029928219322E-2</v>
      </c>
      <c r="W47" s="4">
        <v>4.6029185290733639E-2</v>
      </c>
      <c r="X47" s="4">
        <v>3.910090479031153E-2</v>
      </c>
      <c r="Y47" s="4">
        <v>2.8963012832434784E-2</v>
      </c>
      <c r="Z47" s="4">
        <v>3.4334172138135735E-2</v>
      </c>
      <c r="AA47" s="4">
        <v>7.2663188152038025E-2</v>
      </c>
      <c r="AB47" s="4">
        <v>5.0406395426033458E-2</v>
      </c>
      <c r="AC47" s="4">
        <v>5.8764777387869525E-2</v>
      </c>
      <c r="AD47" s="4">
        <v>2.709402869212162E-2</v>
      </c>
      <c r="AE47" s="4">
        <v>2.9073398489187743E-2</v>
      </c>
      <c r="AF47" s="4">
        <v>2.0861660131351028E-2</v>
      </c>
      <c r="AG47" s="4">
        <v>6.4543038620609255E-2</v>
      </c>
      <c r="AH47" s="4">
        <v>7.0505959996829196E-2</v>
      </c>
      <c r="AI47" s="4">
        <v>5.5439878478019518E-2</v>
      </c>
      <c r="AJ47" s="4">
        <v>4.651987710206644E-2</v>
      </c>
      <c r="AK47" s="4">
        <v>1.8493480354855808E-2</v>
      </c>
      <c r="AL47" s="4">
        <v>8.6435745149404955E-2</v>
      </c>
      <c r="AM47" s="4">
        <v>3.3565539292163347E-2</v>
      </c>
      <c r="AN47" s="4">
        <v>2.9644548323702634E-2</v>
      </c>
      <c r="AO47" s="4">
        <v>4.2099826145352945E-2</v>
      </c>
      <c r="AP47" s="4">
        <v>6.8236641266192E-2</v>
      </c>
      <c r="AQ47" s="4">
        <v>3.1735449091106177E-2</v>
      </c>
      <c r="AR47" s="4">
        <v>3.9871157500454987E-2</v>
      </c>
      <c r="AS47" s="4">
        <v>2.7934010650936338E-2</v>
      </c>
      <c r="AT47" s="4">
        <v>4.3237348802029368E-2</v>
      </c>
      <c r="AU47" s="4">
        <v>2.6144797468354495E-2</v>
      </c>
      <c r="AV47" s="4">
        <v>2.1561156397083881E-2</v>
      </c>
      <c r="AW47" s="4">
        <v>4.2381565318428994E-2</v>
      </c>
      <c r="AX47" s="4">
        <v>5.3660018040079721E-2</v>
      </c>
      <c r="AY47" s="4">
        <v>3.1585565711178334E-2</v>
      </c>
    </row>
    <row r="48" spans="1:51" x14ac:dyDescent="0.2">
      <c r="A48" s="5">
        <v>45</v>
      </c>
      <c r="B48" s="4">
        <v>3.3196887783389355E-2</v>
      </c>
      <c r="C48" s="4">
        <v>2.111463524426458E-2</v>
      </c>
      <c r="D48" s="4">
        <v>2.7498744015916253E-2</v>
      </c>
      <c r="E48" s="4">
        <v>5.7878980595819647E-2</v>
      </c>
      <c r="F48" s="4">
        <v>2.9727524664993323E-2</v>
      </c>
      <c r="G48" s="4">
        <v>2.4753636897832051E-2</v>
      </c>
      <c r="H48" s="4">
        <v>2.0917729663956119E-2</v>
      </c>
      <c r="I48" s="4">
        <v>3.8131705218028812E-2</v>
      </c>
      <c r="J48" s="4">
        <v>4.7483878380027329E-2</v>
      </c>
      <c r="K48" s="4">
        <v>5.6992902722288588E-2</v>
      </c>
      <c r="L48" s="4">
        <v>1.4264844568488047E-2</v>
      </c>
      <c r="M48" s="4">
        <v>2.769828602502394E-2</v>
      </c>
      <c r="N48" s="4">
        <v>4.0381457542478433E-2</v>
      </c>
      <c r="O48" s="4">
        <v>3.7508422950491838E-2</v>
      </c>
      <c r="P48" s="4">
        <v>6.5958638955121204E-2</v>
      </c>
      <c r="Q48" s="4">
        <v>2.5544624734987587E-2</v>
      </c>
      <c r="R48" s="4">
        <v>5.1300585515797324E-2</v>
      </c>
      <c r="S48" s="4">
        <v>3.4853183318395389E-2</v>
      </c>
      <c r="T48" s="4">
        <v>3.9078171434463127E-2</v>
      </c>
      <c r="U48" s="4">
        <v>3.9821247835503608E-2</v>
      </c>
      <c r="V48" s="4">
        <v>2.7953785342029604E-2</v>
      </c>
      <c r="W48" s="4">
        <v>4.6043447331658618E-2</v>
      </c>
      <c r="X48" s="4">
        <v>3.9306989853896475E-2</v>
      </c>
      <c r="Y48" s="4">
        <v>2.7854733686572718E-2</v>
      </c>
      <c r="Z48" s="4">
        <v>3.35296950575436E-2</v>
      </c>
      <c r="AA48" s="4">
        <v>7.9705424616981393E-2</v>
      </c>
      <c r="AB48" s="4">
        <v>5.1655201075883866E-2</v>
      </c>
      <c r="AC48" s="4">
        <v>6.5177569708361666E-2</v>
      </c>
      <c r="AD48" s="4">
        <v>2.7328689568658873E-2</v>
      </c>
      <c r="AE48" s="4">
        <v>3.2448394891956445E-2</v>
      </c>
      <c r="AF48" s="4">
        <v>1.6801667433846066E-2</v>
      </c>
      <c r="AG48" s="4">
        <v>6.5893940985620236E-2</v>
      </c>
      <c r="AH48" s="4">
        <v>6.9437336942012914E-2</v>
      </c>
      <c r="AI48" s="4">
        <v>5.7467202001305957E-2</v>
      </c>
      <c r="AJ48" s="4">
        <v>4.0511920410735244E-2</v>
      </c>
      <c r="AK48" s="4">
        <v>1.6181426325344278E-2</v>
      </c>
      <c r="AL48" s="4">
        <v>8.0883536317013033E-2</v>
      </c>
      <c r="AM48" s="4">
        <v>3.7433084901797607E-2</v>
      </c>
      <c r="AN48" s="4">
        <v>3.3485492170912061E-2</v>
      </c>
      <c r="AO48" s="4">
        <v>4.517045768583948E-2</v>
      </c>
      <c r="AP48" s="4">
        <v>6.7843211537601644E-2</v>
      </c>
      <c r="AQ48" s="4">
        <v>3.4462903140873288E-2</v>
      </c>
      <c r="AR48" s="4">
        <v>3.9774824417842011E-2</v>
      </c>
      <c r="AS48" s="4">
        <v>3.0884945204483403E-2</v>
      </c>
      <c r="AT48" s="4">
        <v>4.4275256830717043E-2</v>
      </c>
      <c r="AU48" s="4">
        <v>2.1546400726744772E-2</v>
      </c>
      <c r="AV48" s="4">
        <v>2.0613704312301306E-2</v>
      </c>
      <c r="AW48" s="4">
        <v>4.185550442548315E-2</v>
      </c>
      <c r="AX48" s="4">
        <v>5.1202208144939115E-2</v>
      </c>
      <c r="AY48" s="4">
        <v>3.422858513595798E-2</v>
      </c>
    </row>
    <row r="49" spans="1:51" x14ac:dyDescent="0.2">
      <c r="A49" s="5">
        <v>46</v>
      </c>
      <c r="B49" s="4">
        <v>3.345312109723881E-2</v>
      </c>
      <c r="C49" s="4">
        <v>2.0780824729121104E-2</v>
      </c>
      <c r="D49" s="4">
        <v>2.9791951153238655E-2</v>
      </c>
      <c r="E49" s="4">
        <v>5.2548648204031809E-2</v>
      </c>
      <c r="F49" s="4">
        <v>2.536691799567142E-2</v>
      </c>
      <c r="G49" s="4">
        <v>2.3681864733173623E-2</v>
      </c>
      <c r="H49" s="4">
        <v>2.0989446659929856E-2</v>
      </c>
      <c r="I49" s="4">
        <v>3.8738356858778467E-2</v>
      </c>
      <c r="J49" s="4">
        <v>5.0969856445655819E-2</v>
      </c>
      <c r="K49" s="4">
        <v>6.2140373711734712E-2</v>
      </c>
      <c r="L49" s="4">
        <v>1.8049906371459722E-2</v>
      </c>
      <c r="M49" s="4">
        <v>2.7505768042454876E-2</v>
      </c>
      <c r="N49" s="4">
        <v>4.6495457409924723E-2</v>
      </c>
      <c r="O49" s="4">
        <v>4.2853611401971019E-2</v>
      </c>
      <c r="P49" s="4">
        <v>6.6598256395184241E-2</v>
      </c>
      <c r="Q49" s="4">
        <v>2.7231714172365824E-2</v>
      </c>
      <c r="R49" s="4">
        <v>6.112522074672963E-2</v>
      </c>
      <c r="S49" s="4">
        <v>4.0470227539334991E-2</v>
      </c>
      <c r="T49" s="4">
        <v>3.8781482841733786E-2</v>
      </c>
      <c r="U49" s="4">
        <v>3.9696690514936031E-2</v>
      </c>
      <c r="V49" s="4">
        <v>3.0704305146177991E-2</v>
      </c>
      <c r="W49" s="4">
        <v>4.4251288863190262E-2</v>
      </c>
      <c r="X49" s="4">
        <v>3.7721508609895753E-2</v>
      </c>
      <c r="Y49" s="4">
        <v>3.1529359944585236E-2</v>
      </c>
      <c r="Z49" s="4">
        <v>3.3552903594423589E-2</v>
      </c>
      <c r="AA49" s="4">
        <v>7.8788631296270117E-2</v>
      </c>
      <c r="AB49" s="4">
        <v>4.9977317916472211E-2</v>
      </c>
      <c r="AC49" s="4">
        <v>6.9457439446680896E-2</v>
      </c>
      <c r="AD49" s="4">
        <v>2.8139903293872785E-2</v>
      </c>
      <c r="AE49" s="4">
        <v>2.5209036923881517E-2</v>
      </c>
      <c r="AF49" s="4">
        <v>1.9168746954777664E-2</v>
      </c>
      <c r="AG49" s="4">
        <v>6.7526672396782422E-2</v>
      </c>
      <c r="AH49" s="4">
        <v>7.1185663651144648E-2</v>
      </c>
      <c r="AI49" s="4">
        <v>5.9835519040920562E-2</v>
      </c>
      <c r="AJ49" s="4">
        <v>4.4154980810560823E-2</v>
      </c>
      <c r="AK49" s="4">
        <v>1.9233616322963439E-2</v>
      </c>
      <c r="AL49" s="4">
        <v>7.5979426087750268E-2</v>
      </c>
      <c r="AM49" s="4">
        <v>4.0990029746124534E-2</v>
      </c>
      <c r="AN49" s="4">
        <v>3.2719127712828235E-2</v>
      </c>
      <c r="AO49" s="4">
        <v>5.2190584556679284E-2</v>
      </c>
      <c r="AP49" s="4">
        <v>6.3510954935191155E-2</v>
      </c>
      <c r="AQ49" s="4">
        <v>3.7495953744710951E-2</v>
      </c>
      <c r="AR49" s="4">
        <v>4.2638541303985845E-2</v>
      </c>
      <c r="AS49" s="4">
        <v>3.2207281532894948E-2</v>
      </c>
      <c r="AT49" s="4">
        <v>4.9724964386556034E-2</v>
      </c>
      <c r="AU49" s="4">
        <v>2.2659254556401272E-2</v>
      </c>
      <c r="AV49" s="4">
        <v>1.9068677306528108E-2</v>
      </c>
      <c r="AW49" s="4">
        <v>4.6143414286092227E-2</v>
      </c>
      <c r="AX49" s="4">
        <v>5.1468911417747405E-2</v>
      </c>
      <c r="AY49" s="4">
        <v>3.2153413125219923E-2</v>
      </c>
    </row>
    <row r="50" spans="1:51" x14ac:dyDescent="0.2">
      <c r="A50" s="5">
        <v>47</v>
      </c>
      <c r="B50" s="4">
        <v>3.7390639167156049E-2</v>
      </c>
      <c r="C50" s="4">
        <v>1.8732562246371695E-2</v>
      </c>
      <c r="D50" s="4">
        <v>3.06601954922993E-2</v>
      </c>
      <c r="E50" s="4">
        <v>5.7632836528283271E-2</v>
      </c>
      <c r="F50" s="4">
        <v>2.8293660641317293E-2</v>
      </c>
      <c r="G50" s="4">
        <v>2.2261837224784822E-2</v>
      </c>
      <c r="H50" s="4">
        <v>1.5989399269726416E-2</v>
      </c>
      <c r="I50" s="4">
        <v>4.1443273565073747E-2</v>
      </c>
      <c r="J50" s="4">
        <v>5.209758768655167E-2</v>
      </c>
      <c r="K50" s="4">
        <v>6.6321570403578528E-2</v>
      </c>
      <c r="L50" s="4">
        <v>1.8586004262382907E-2</v>
      </c>
      <c r="M50" s="4">
        <v>2.502043116653822E-2</v>
      </c>
      <c r="N50" s="4">
        <v>4.1592028375932559E-2</v>
      </c>
      <c r="O50" s="4">
        <v>3.9053621529885507E-2</v>
      </c>
      <c r="P50" s="4">
        <v>6.6108266263882998E-2</v>
      </c>
      <c r="Q50" s="4">
        <v>2.8649514499200862E-2</v>
      </c>
      <c r="R50" s="4">
        <v>5.7879869625725625E-2</v>
      </c>
      <c r="S50" s="4">
        <v>2.944318385552646E-2</v>
      </c>
      <c r="T50" s="4">
        <v>3.695347218610872E-2</v>
      </c>
      <c r="U50" s="4">
        <v>4.2878720138090583E-2</v>
      </c>
      <c r="V50" s="4">
        <v>2.7759706124185487E-2</v>
      </c>
      <c r="W50" s="4">
        <v>3.6691965896057381E-2</v>
      </c>
      <c r="X50" s="4">
        <v>3.3987270537386656E-2</v>
      </c>
      <c r="Y50" s="4">
        <v>2.7896046767501625E-2</v>
      </c>
      <c r="Z50" s="4">
        <v>3.365876465675114E-2</v>
      </c>
      <c r="AA50" s="4">
        <v>7.8347324072073024E-2</v>
      </c>
      <c r="AB50" s="4">
        <v>4.7877410528603469E-2</v>
      </c>
      <c r="AC50" s="4">
        <v>6.7873331253155283E-2</v>
      </c>
      <c r="AD50" s="4">
        <v>2.6501256440147065E-2</v>
      </c>
      <c r="AE50" s="4">
        <v>2.7772220615290631E-2</v>
      </c>
      <c r="AF50" s="4">
        <v>1.7412123353496765E-2</v>
      </c>
      <c r="AG50" s="4">
        <v>7.2271854721936313E-2</v>
      </c>
      <c r="AH50" s="4">
        <v>7.2260282519991392E-2</v>
      </c>
      <c r="AI50" s="4">
        <v>5.8597336531051182E-2</v>
      </c>
      <c r="AJ50" s="4">
        <v>4.7004153656039944E-2</v>
      </c>
      <c r="AK50" s="4">
        <v>2.0982323672272717E-2</v>
      </c>
      <c r="AL50" s="4">
        <v>6.8024315929422097E-2</v>
      </c>
      <c r="AM50" s="4">
        <v>3.6793156902038E-2</v>
      </c>
      <c r="AN50" s="4">
        <v>3.7088199847258869E-2</v>
      </c>
      <c r="AO50" s="4">
        <v>5.5024175161392117E-2</v>
      </c>
      <c r="AP50" s="4">
        <v>5.4391800227835248E-2</v>
      </c>
      <c r="AQ50" s="4">
        <v>3.7502626025766331E-2</v>
      </c>
      <c r="AR50" s="4">
        <v>4.839517983494062E-2</v>
      </c>
      <c r="AS50" s="4">
        <v>3.2475625336250452E-2</v>
      </c>
      <c r="AT50" s="4">
        <v>5.5361616886038335E-2</v>
      </c>
      <c r="AU50" s="4">
        <v>2.7327683349049323E-2</v>
      </c>
      <c r="AV50" s="4">
        <v>2.1026578909585498E-2</v>
      </c>
      <c r="AW50" s="4">
        <v>4.9776815575711356E-2</v>
      </c>
      <c r="AX50" s="4">
        <v>5.9799185804429805E-2</v>
      </c>
      <c r="AY50" s="4">
        <v>3.3875039649336511E-2</v>
      </c>
    </row>
    <row r="51" spans="1:51" x14ac:dyDescent="0.2">
      <c r="A51" s="5">
        <v>48</v>
      </c>
      <c r="B51" s="4">
        <v>4.4414967060809239E-2</v>
      </c>
      <c r="C51" s="4">
        <v>1.6332277581073473E-2</v>
      </c>
      <c r="D51" s="4">
        <v>3.1285760105203855E-2</v>
      </c>
      <c r="E51" s="4">
        <v>6.1999185443486794E-2</v>
      </c>
      <c r="F51" s="4">
        <v>3.1383216421740426E-2</v>
      </c>
      <c r="G51" s="4">
        <v>2.341356396308375E-2</v>
      </c>
      <c r="H51" s="4">
        <v>1.6566027721224227E-2</v>
      </c>
      <c r="I51" s="4">
        <v>3.7530716582589524E-2</v>
      </c>
      <c r="J51" s="4">
        <v>5.2917286299781631E-2</v>
      </c>
      <c r="K51" s="4">
        <v>6.7772617425509607E-2</v>
      </c>
      <c r="L51" s="4">
        <v>1.9018823206944147E-2</v>
      </c>
      <c r="M51" s="4">
        <v>1.9684026783912414E-2</v>
      </c>
      <c r="N51" s="4">
        <v>4.7330044669984236E-2</v>
      </c>
      <c r="O51" s="4">
        <v>3.7182737350056186E-2</v>
      </c>
      <c r="P51" s="4">
        <v>6.7213866097820693E-2</v>
      </c>
      <c r="Q51" s="4">
        <v>3.1429397464013575E-2</v>
      </c>
      <c r="R51" s="4">
        <v>6.071298849308418E-2</v>
      </c>
      <c r="S51" s="4">
        <v>2.8721912584101301E-2</v>
      </c>
      <c r="T51" s="4">
        <v>3.7622514320217591E-2</v>
      </c>
      <c r="U51" s="4">
        <v>5.079532209827381E-2</v>
      </c>
      <c r="V51" s="4">
        <v>3.1956781379582973E-2</v>
      </c>
      <c r="W51" s="4">
        <v>3.6258932241765289E-2</v>
      </c>
      <c r="X51" s="4">
        <v>2.7899066509900511E-2</v>
      </c>
      <c r="Y51" s="4">
        <v>2.6373551685027131E-2</v>
      </c>
      <c r="Z51" s="4">
        <v>3.0309951837569432E-2</v>
      </c>
      <c r="AA51" s="4">
        <v>7.7604545622230722E-2</v>
      </c>
      <c r="AB51" s="4">
        <v>4.7396942242789418E-2</v>
      </c>
      <c r="AC51" s="4">
        <v>7.1586164436051022E-2</v>
      </c>
      <c r="AD51" s="4">
        <v>2.7128990885673304E-2</v>
      </c>
      <c r="AE51" s="4">
        <v>2.6869317004339147E-2</v>
      </c>
      <c r="AF51" s="4">
        <v>1.9237930740878102E-2</v>
      </c>
      <c r="AG51" s="4">
        <v>7.4590332124835249E-2</v>
      </c>
      <c r="AH51" s="4">
        <v>7.1762454378992105E-2</v>
      </c>
      <c r="AI51" s="4">
        <v>6.0524204996148259E-2</v>
      </c>
      <c r="AJ51" s="4">
        <v>4.3451239579511816E-2</v>
      </c>
      <c r="AK51" s="4">
        <v>1.9555149896349572E-2</v>
      </c>
      <c r="AL51" s="4">
        <v>7.197533582432647E-2</v>
      </c>
      <c r="AM51" s="4">
        <v>3.8810922066102878E-2</v>
      </c>
      <c r="AN51" s="4">
        <v>4.2899736536666261E-2</v>
      </c>
      <c r="AO51" s="4">
        <v>4.5816119371303553E-2</v>
      </c>
      <c r="AP51" s="4">
        <v>6.0399592371248721E-2</v>
      </c>
      <c r="AQ51" s="4">
        <v>4.2095064089855E-2</v>
      </c>
      <c r="AR51" s="4">
        <v>5.1127527298804966E-2</v>
      </c>
      <c r="AS51" s="4">
        <v>3.1059592552641326E-2</v>
      </c>
      <c r="AT51" s="4">
        <v>5.2039774904650567E-2</v>
      </c>
      <c r="AU51" s="4">
        <v>2.5884844701290575E-2</v>
      </c>
      <c r="AV51" s="4">
        <v>1.7443152722868338E-2</v>
      </c>
      <c r="AW51" s="4">
        <v>5.0859531038794939E-2</v>
      </c>
      <c r="AX51" s="4">
        <v>6.3544102815899076E-2</v>
      </c>
      <c r="AY51" s="4">
        <v>3.6454713416109119E-2</v>
      </c>
    </row>
    <row r="52" spans="1:51" x14ac:dyDescent="0.2">
      <c r="A52" s="5">
        <v>49</v>
      </c>
      <c r="B52" s="4">
        <v>4.7744115764066772E-2</v>
      </c>
      <c r="C52" s="4">
        <v>1.8242763597471852E-2</v>
      </c>
      <c r="D52" s="4">
        <v>2.5754368726259531E-2</v>
      </c>
      <c r="E52" s="4">
        <v>6.089828178287738E-2</v>
      </c>
      <c r="F52" s="4">
        <v>3.1815583246932011E-2</v>
      </c>
      <c r="G52" s="4">
        <v>2.4134045764688524E-2</v>
      </c>
      <c r="H52" s="4">
        <v>2.0156674013740043E-2</v>
      </c>
      <c r="I52" s="4">
        <v>3.72691354795915E-2</v>
      </c>
      <c r="J52" s="4">
        <v>5.4658740336962039E-2</v>
      </c>
      <c r="K52" s="4">
        <v>6.6887921843632958E-2</v>
      </c>
      <c r="L52" s="4">
        <v>1.5900026881387731E-2</v>
      </c>
      <c r="M52" s="4">
        <v>2.1320320205874422E-2</v>
      </c>
      <c r="N52" s="4">
        <v>4.8197722432331905E-2</v>
      </c>
      <c r="O52" s="4">
        <v>4.0269870423251697E-2</v>
      </c>
      <c r="P52" s="4">
        <v>7.1783450371131832E-2</v>
      </c>
      <c r="Q52" s="4">
        <v>3.2687812846072632E-2</v>
      </c>
      <c r="R52" s="4">
        <v>6.2749902318571527E-2</v>
      </c>
      <c r="S52" s="4">
        <v>3.2092490390142225E-2</v>
      </c>
      <c r="T52" s="4">
        <v>3.5474092988084918E-2</v>
      </c>
      <c r="U52" s="4">
        <v>4.8425611922521393E-2</v>
      </c>
      <c r="V52" s="4">
        <v>3.245402343849698E-2</v>
      </c>
      <c r="W52" s="4">
        <v>3.4341480910090864E-2</v>
      </c>
      <c r="X52" s="4">
        <v>2.6869675101251635E-2</v>
      </c>
      <c r="Y52" s="4">
        <v>2.6045410391786969E-2</v>
      </c>
      <c r="Z52" s="4">
        <v>3.0763174322348048E-2</v>
      </c>
      <c r="AA52" s="4">
        <v>8.2548498967378217E-2</v>
      </c>
      <c r="AB52" s="4">
        <v>5.0539363975139744E-2</v>
      </c>
      <c r="AC52" s="4">
        <v>6.9243557782611112E-2</v>
      </c>
      <c r="AD52" s="4">
        <v>2.9032423745594158E-2</v>
      </c>
      <c r="AE52" s="4">
        <v>2.6450700421160184E-2</v>
      </c>
      <c r="AF52" s="4">
        <v>2.0422245378479864E-2</v>
      </c>
      <c r="AG52" s="4">
        <v>7.0098247516916803E-2</v>
      </c>
      <c r="AH52" s="4">
        <v>8.0549062699722437E-2</v>
      </c>
      <c r="AI52" s="4">
        <v>6.4554187340431848E-2</v>
      </c>
      <c r="AJ52" s="4">
        <v>4.2432171460169851E-2</v>
      </c>
      <c r="AK52" s="4">
        <v>2.4588411817969127E-2</v>
      </c>
      <c r="AL52" s="4">
        <v>7.5300055365028234E-2</v>
      </c>
      <c r="AM52" s="4">
        <v>3.9153783265208346E-2</v>
      </c>
      <c r="AN52" s="4">
        <v>3.9306032674464066E-2</v>
      </c>
      <c r="AO52" s="4">
        <v>4.6261800004397349E-2</v>
      </c>
      <c r="AP52" s="4">
        <v>5.8403269261569239E-2</v>
      </c>
      <c r="AQ52" s="4">
        <v>3.9160026839583313E-2</v>
      </c>
      <c r="AR52" s="4">
        <v>5.6027247003853899E-2</v>
      </c>
      <c r="AS52" s="4">
        <v>3.034724295547505E-2</v>
      </c>
      <c r="AT52" s="4">
        <v>4.9016929297203478E-2</v>
      </c>
      <c r="AU52" s="4">
        <v>2.7792613800032992E-2</v>
      </c>
      <c r="AV52" s="4">
        <v>1.9376889639683838E-2</v>
      </c>
      <c r="AW52" s="4">
        <v>5.1365348277050082E-2</v>
      </c>
      <c r="AX52" s="4">
        <v>6.7453436978280989E-2</v>
      </c>
      <c r="AY52" s="4">
        <v>3.6286111764165144E-2</v>
      </c>
    </row>
    <row r="53" spans="1:51" x14ac:dyDescent="0.2">
      <c r="A53" s="5">
        <v>50</v>
      </c>
      <c r="B53" s="4">
        <v>4.687557803681186E-2</v>
      </c>
      <c r="C53" s="4">
        <v>1.8107407847639142E-2</v>
      </c>
      <c r="D53" s="4">
        <v>2.768334549775844E-2</v>
      </c>
      <c r="E53" s="4">
        <v>5.726246483576105E-2</v>
      </c>
      <c r="F53" s="4">
        <v>3.3451433338657188E-2</v>
      </c>
      <c r="G53" s="4">
        <v>2.5120876006768572E-2</v>
      </c>
      <c r="H53" s="4">
        <v>2.064222242721734E-2</v>
      </c>
      <c r="I53" s="4">
        <v>3.2921711035628111E-2</v>
      </c>
      <c r="J53" s="4">
        <v>5.4608994786333652E-2</v>
      </c>
      <c r="K53" s="4">
        <v>7.1730267712816639E-2</v>
      </c>
      <c r="L53" s="4">
        <v>1.4547214759304188E-2</v>
      </c>
      <c r="M53" s="4">
        <v>2.5882051697852623E-2</v>
      </c>
      <c r="N53" s="4">
        <v>4.9162032327323413E-2</v>
      </c>
      <c r="O53" s="4">
        <v>3.7112313608758316E-2</v>
      </c>
      <c r="P53" s="4">
        <v>7.3261342511942301E-2</v>
      </c>
      <c r="Q53" s="4">
        <v>3.6649418578613174E-2</v>
      </c>
      <c r="R53" s="4">
        <v>6.0797434412360886E-2</v>
      </c>
      <c r="S53" s="4">
        <v>2.6792731850537967E-2</v>
      </c>
      <c r="T53" s="4">
        <v>3.0589027126744276E-2</v>
      </c>
      <c r="U53" s="4">
        <v>4.4777238273490699E-2</v>
      </c>
      <c r="V53" s="4">
        <v>2.8755629898105314E-2</v>
      </c>
      <c r="W53" s="4">
        <v>3.0933227564471127E-2</v>
      </c>
      <c r="X53" s="4">
        <v>3.0506189981557231E-2</v>
      </c>
      <c r="Y53" s="4">
        <v>2.372143662523174E-2</v>
      </c>
      <c r="Z53" s="4">
        <v>3.2591187390466653E-2</v>
      </c>
      <c r="AA53" s="4">
        <v>8.3463368245545885E-2</v>
      </c>
      <c r="AB53" s="4">
        <v>5.34908555006317E-2</v>
      </c>
      <c r="AC53" s="4">
        <v>6.2480973132686336E-2</v>
      </c>
      <c r="AD53" s="4">
        <v>2.7203935848646589E-2</v>
      </c>
      <c r="AE53" s="4">
        <v>2.8674810165760158E-2</v>
      </c>
      <c r="AF53" s="4">
        <v>2.0593662622276111E-2</v>
      </c>
      <c r="AG53" s="4">
        <v>6.5041643632879981E-2</v>
      </c>
      <c r="AH53" s="4">
        <v>7.7781636147951957E-2</v>
      </c>
      <c r="AI53" s="4">
        <v>6.2203769812711397E-2</v>
      </c>
      <c r="AJ53" s="4">
        <v>4.6742231818969741E-2</v>
      </c>
      <c r="AK53" s="4">
        <v>2.5105583359307727E-2</v>
      </c>
      <c r="AL53" s="4">
        <v>7.7979718623152963E-2</v>
      </c>
      <c r="AM53" s="4">
        <v>3.8049368221586034E-2</v>
      </c>
      <c r="AN53" s="4">
        <v>4.2343249349827222E-2</v>
      </c>
      <c r="AO53" s="4">
        <v>4.8587016203920932E-2</v>
      </c>
      <c r="AP53" s="4">
        <v>6.2773004843882027E-2</v>
      </c>
      <c r="AQ53" s="4">
        <v>3.9451616685611028E-2</v>
      </c>
      <c r="AR53" s="4">
        <v>6.3949124940030161E-2</v>
      </c>
      <c r="AS53" s="4">
        <v>3.0160831950382112E-2</v>
      </c>
      <c r="AT53" s="4">
        <v>5.1505282106415209E-2</v>
      </c>
      <c r="AU53" s="4">
        <v>3.1099148383933507E-2</v>
      </c>
      <c r="AV53" s="4">
        <v>2.1379285346403661E-2</v>
      </c>
      <c r="AW53" s="4">
        <v>5.3992641778705872E-2</v>
      </c>
      <c r="AX53" s="4">
        <v>6.4153737884431433E-2</v>
      </c>
      <c r="AY53" s="4">
        <v>3.4926256799161913E-2</v>
      </c>
    </row>
    <row r="54" spans="1:51" x14ac:dyDescent="0.2">
      <c r="A54" s="5">
        <v>51</v>
      </c>
      <c r="B54" s="4">
        <v>4.4890138375479109E-2</v>
      </c>
      <c r="C54" s="4">
        <v>1.8163652149534217E-2</v>
      </c>
      <c r="D54" s="4">
        <v>3.0600884011127726E-2</v>
      </c>
      <c r="E54" s="4">
        <v>6.1965974557321127E-2</v>
      </c>
      <c r="F54" s="4">
        <v>3.3379522194143696E-2</v>
      </c>
      <c r="G54" s="4">
        <v>2.9083882035793075E-2</v>
      </c>
      <c r="H54" s="4">
        <v>2.1539674056301337E-2</v>
      </c>
      <c r="I54" s="4">
        <v>3.134091687224122E-2</v>
      </c>
      <c r="J54" s="4">
        <v>5.2128149612352119E-2</v>
      </c>
      <c r="K54" s="4">
        <v>7.3654780945290488E-2</v>
      </c>
      <c r="L54" s="4">
        <v>1.5075569924658628E-2</v>
      </c>
      <c r="M54" s="4">
        <v>2.3216911240873096E-2</v>
      </c>
      <c r="N54" s="4">
        <v>5.1950651632745613E-2</v>
      </c>
      <c r="O54" s="4">
        <v>3.9710628522771463E-2</v>
      </c>
      <c r="P54" s="4">
        <v>7.601103414206932E-2</v>
      </c>
      <c r="Q54" s="4">
        <v>3.6610968066650248E-2</v>
      </c>
      <c r="R54" s="4">
        <v>5.6154785094812941E-2</v>
      </c>
      <c r="S54" s="4">
        <v>2.4626403755821695E-2</v>
      </c>
      <c r="T54" s="4">
        <v>3.2814813610375547E-2</v>
      </c>
      <c r="U54" s="4">
        <v>4.8148640338273929E-2</v>
      </c>
      <c r="V54" s="4">
        <v>2.6361612565376363E-2</v>
      </c>
      <c r="W54" s="4">
        <v>3.2823298357162474E-2</v>
      </c>
      <c r="X54" s="4">
        <v>3.250479725730282E-2</v>
      </c>
      <c r="Y54" s="4">
        <v>2.8245974527824451E-2</v>
      </c>
      <c r="Z54" s="4">
        <v>3.4884197580191692E-2</v>
      </c>
      <c r="AA54" s="4">
        <v>8.8405272999110815E-2</v>
      </c>
      <c r="AB54" s="4">
        <v>5.8984584348232401E-2</v>
      </c>
      <c r="AC54" s="4">
        <v>7.2313267454541724E-2</v>
      </c>
      <c r="AD54" s="4">
        <v>3.2739775926249132E-2</v>
      </c>
      <c r="AE54" s="4">
        <v>3.1411500654939736E-2</v>
      </c>
      <c r="AF54" s="4">
        <v>2.256494921975678E-2</v>
      </c>
      <c r="AG54" s="4">
        <v>6.368579650063666E-2</v>
      </c>
      <c r="AH54" s="4">
        <v>7.157821350727625E-2</v>
      </c>
      <c r="AI54" s="4">
        <v>6.6012003853293755E-2</v>
      </c>
      <c r="AJ54" s="4">
        <v>4.615979545029561E-2</v>
      </c>
      <c r="AK54" s="4">
        <v>2.831826250536541E-2</v>
      </c>
      <c r="AL54" s="4">
        <v>7.3436821419702078E-2</v>
      </c>
      <c r="AM54" s="4">
        <v>3.8144139728848475E-2</v>
      </c>
      <c r="AN54" s="4">
        <v>3.877067694000088E-2</v>
      </c>
      <c r="AO54" s="4">
        <v>5.0471304794242042E-2</v>
      </c>
      <c r="AP54" s="4">
        <v>5.702157137058253E-2</v>
      </c>
      <c r="AQ54" s="4">
        <v>3.0791780148054559E-2</v>
      </c>
      <c r="AR54" s="4">
        <v>6.2900108377765787E-2</v>
      </c>
      <c r="AS54" s="4">
        <v>3.083672736338464E-2</v>
      </c>
      <c r="AT54" s="4">
        <v>4.7268172195517752E-2</v>
      </c>
      <c r="AU54" s="4">
        <v>3.3864802710520253E-2</v>
      </c>
      <c r="AV54" s="4">
        <v>2.2729846515234669E-2</v>
      </c>
      <c r="AW54" s="4">
        <v>5.9591694639859562E-2</v>
      </c>
      <c r="AX54" s="4">
        <v>5.8817089599519957E-2</v>
      </c>
      <c r="AY54" s="4">
        <v>3.6310480221439491E-2</v>
      </c>
    </row>
    <row r="55" spans="1:51" x14ac:dyDescent="0.2">
      <c r="A55" s="5">
        <v>52</v>
      </c>
      <c r="B55" s="4">
        <v>4.1017713400330481E-2</v>
      </c>
      <c r="C55" s="4">
        <v>1.9810612153847402E-2</v>
      </c>
      <c r="D55" s="4">
        <v>3.1311370634727345E-2</v>
      </c>
      <c r="E55" s="4">
        <v>6.472270542977536E-2</v>
      </c>
      <c r="F55" s="4">
        <v>2.9633841761771376E-2</v>
      </c>
      <c r="G55" s="4">
        <v>3.172682196339225E-2</v>
      </c>
      <c r="H55" s="4">
        <v>2.1354744765603218E-2</v>
      </c>
      <c r="I55" s="4">
        <v>3.3683468998352291E-2</v>
      </c>
      <c r="J55" s="4">
        <v>5.1748985426242795E-2</v>
      </c>
      <c r="K55" s="4">
        <v>7.1691717637964628E-2</v>
      </c>
      <c r="L55" s="4">
        <v>1.3050520650761533E-2</v>
      </c>
      <c r="M55" s="4">
        <v>2.2909985217695866E-2</v>
      </c>
      <c r="N55" s="4">
        <v>4.6239584700516659E-2</v>
      </c>
      <c r="O55" s="4">
        <v>4.439954337979974E-2</v>
      </c>
      <c r="P55" s="4">
        <v>8.0146106953509988E-2</v>
      </c>
      <c r="Q55" s="4">
        <v>3.6341202734980767E-2</v>
      </c>
      <c r="R55" s="4">
        <v>6.6876237219516743E-2</v>
      </c>
      <c r="S55" s="4">
        <v>2.4660213167269657E-2</v>
      </c>
      <c r="T55" s="4">
        <v>3.432654862290227E-2</v>
      </c>
      <c r="U55" s="4">
        <v>4.91336859972972E-2</v>
      </c>
      <c r="V55" s="4">
        <v>2.8318993926024289E-2</v>
      </c>
      <c r="W55" s="4">
        <v>3.3895473898228466E-2</v>
      </c>
      <c r="X55" s="4">
        <v>3.742137443566048E-2</v>
      </c>
      <c r="Y55" s="4">
        <v>2.4194293627185306E-2</v>
      </c>
      <c r="Z55" s="4">
        <v>3.1435394930059202E-2</v>
      </c>
      <c r="AA55" s="4">
        <v>8.3992175921793824E-2</v>
      </c>
      <c r="AB55" s="4">
        <v>5.8331878199192638E-2</v>
      </c>
      <c r="AC55" s="4">
        <v>7.8160088870534924E-2</v>
      </c>
      <c r="AD55" s="4">
        <v>3.556810130510013E-2</v>
      </c>
      <c r="AE55" s="4">
        <v>3.3580409381622794E-2</v>
      </c>
      <c r="AF55" s="4">
        <v>2.3400554432970868E-2</v>
      </c>
      <c r="AG55" s="4">
        <v>6.4525945504327109E-2</v>
      </c>
      <c r="AH55" s="4">
        <v>7.3071672899931703E-2</v>
      </c>
      <c r="AI55" s="4">
        <v>6.6555077626915052E-2</v>
      </c>
      <c r="AJ55" s="4">
        <v>4.6085135644048113E-2</v>
      </c>
      <c r="AK55" s="4">
        <v>2.7860267976324647E-2</v>
      </c>
      <c r="AL55" s="4">
        <v>7.7316956548467416E-2</v>
      </c>
      <c r="AM55" s="4">
        <v>4.2451363582000613E-2</v>
      </c>
      <c r="AN55" s="4">
        <v>3.9782780678041092E-2</v>
      </c>
      <c r="AO55" s="4">
        <v>5.4276109119351865E-2</v>
      </c>
      <c r="AP55" s="4">
        <v>5.5253482068700448E-2</v>
      </c>
      <c r="AQ55" s="4">
        <v>2.7756144022204093E-2</v>
      </c>
      <c r="AR55" s="4">
        <v>6.1997968869764643E-2</v>
      </c>
      <c r="AS55" s="4">
        <v>2.9824552494494345E-2</v>
      </c>
      <c r="AT55" s="4">
        <v>4.2279300922080813E-2</v>
      </c>
      <c r="AU55" s="4">
        <v>3.7112714815701539E-2</v>
      </c>
      <c r="AV55" s="4">
        <v>2.2633578207954745E-2</v>
      </c>
      <c r="AW55" s="4">
        <v>5.6794633760769098E-2</v>
      </c>
      <c r="AX55" s="4">
        <v>5.8936742448951626E-2</v>
      </c>
      <c r="AY55" s="4">
        <v>3.45177342282353E-2</v>
      </c>
    </row>
    <row r="56" spans="1:51" x14ac:dyDescent="0.2">
      <c r="A56" s="5">
        <v>53</v>
      </c>
      <c r="B56" s="4">
        <v>3.337118719630331E-2</v>
      </c>
      <c r="C56" s="4">
        <v>2.0089020348169846E-2</v>
      </c>
      <c r="D56" s="4">
        <v>3.3292465857328993E-2</v>
      </c>
      <c r="E56" s="4">
        <v>6.6254460383028707E-2</v>
      </c>
      <c r="F56" s="4">
        <v>3.0545120124817152E-2</v>
      </c>
      <c r="G56" s="4">
        <v>3.5377926141612476E-2</v>
      </c>
      <c r="H56" s="4">
        <v>2.2343251643806728E-2</v>
      </c>
      <c r="I56" s="4">
        <v>2.9577557629897756E-2</v>
      </c>
      <c r="J56" s="4">
        <v>5.0998254082521649E-2</v>
      </c>
      <c r="K56" s="4">
        <v>6.8968372471602937E-2</v>
      </c>
      <c r="L56" s="4">
        <v>1.5170589131577216E-2</v>
      </c>
      <c r="M56" s="4">
        <v>2.607321587194671E-2</v>
      </c>
      <c r="N56" s="4">
        <v>4.6153633365115722E-2</v>
      </c>
      <c r="O56" s="4">
        <v>4.9880357369316508E-2</v>
      </c>
      <c r="P56" s="4">
        <v>8.3204638437911815E-2</v>
      </c>
      <c r="Q56" s="4">
        <v>3.5773445378943107E-2</v>
      </c>
      <c r="R56" s="4">
        <v>6.4726731318356531E-2</v>
      </c>
      <c r="S56" s="4">
        <v>2.3968908076029728E-2</v>
      </c>
      <c r="T56" s="4">
        <v>3.670438464127964E-2</v>
      </c>
      <c r="U56" s="4">
        <v>4.971077528270447E-2</v>
      </c>
      <c r="V56" s="4">
        <v>3.3123189523626015E-2</v>
      </c>
      <c r="W56" s="4">
        <v>2.9461805302626019E-2</v>
      </c>
      <c r="X56" s="4">
        <v>3.9705534497812778E-2</v>
      </c>
      <c r="Y56" s="4">
        <v>2.236486525619618E-2</v>
      </c>
      <c r="Z56" s="4">
        <v>3.3118271579351183E-2</v>
      </c>
      <c r="AA56" s="4">
        <v>7.86543743193725E-2</v>
      </c>
      <c r="AB56" s="4">
        <v>5.9754681906420644E-2</v>
      </c>
      <c r="AC56" s="4">
        <v>7.8313556332214596E-2</v>
      </c>
      <c r="AD56" s="4">
        <v>3.7943783051425851E-2</v>
      </c>
      <c r="AE56" s="4">
        <v>3.5860262458575529E-2</v>
      </c>
      <c r="AF56" s="4">
        <v>2.2588219480546349E-2</v>
      </c>
      <c r="AG56" s="4">
        <v>6.9883869454756817E-2</v>
      </c>
      <c r="AH56" s="4">
        <v>7.5338039510444169E-2</v>
      </c>
      <c r="AI56" s="4">
        <v>7.8255334264920165E-2</v>
      </c>
      <c r="AJ56" s="4">
        <v>4.4506003978480896E-2</v>
      </c>
      <c r="AK56" s="4">
        <v>2.1224486021619578E-2</v>
      </c>
      <c r="AL56" s="4">
        <v>7.2171047927369725E-2</v>
      </c>
      <c r="AM56" s="4">
        <v>3.9412980733969108E-2</v>
      </c>
      <c r="AN56" s="4">
        <v>4.4006775700922603E-2</v>
      </c>
      <c r="AO56" s="4">
        <v>4.8164423042183185E-2</v>
      </c>
      <c r="AP56" s="4">
        <v>5.3473273971375176E-2</v>
      </c>
      <c r="AQ56" s="4">
        <v>2.8952488076532151E-2</v>
      </c>
      <c r="AR56" s="4">
        <v>6.2170289195491404E-2</v>
      </c>
      <c r="AS56" s="4">
        <v>2.7401340455505557E-2</v>
      </c>
      <c r="AT56" s="4">
        <v>4.0768106009047712E-2</v>
      </c>
      <c r="AU56" s="4">
        <v>4.0982872105236802E-2</v>
      </c>
      <c r="AV56" s="4">
        <v>2.1052404650848962E-2</v>
      </c>
      <c r="AW56" s="4">
        <v>5.8063752332281664E-2</v>
      </c>
      <c r="AX56" s="4">
        <v>6.6246961783383781E-2</v>
      </c>
      <c r="AY56" s="4">
        <v>3.5604723616100842E-2</v>
      </c>
    </row>
    <row r="57" spans="1:51" x14ac:dyDescent="0.2">
      <c r="A57" s="5">
        <v>54</v>
      </c>
      <c r="B57" s="4">
        <v>2.9869656361255732E-2</v>
      </c>
      <c r="C57" s="4">
        <v>1.8829453760018839E-2</v>
      </c>
      <c r="D57" s="4">
        <v>3.5347447042419683E-2</v>
      </c>
      <c r="E57" s="4">
        <v>5.9952404990466002E-2</v>
      </c>
      <c r="F57" s="4">
        <v>3.0664765299118293E-2</v>
      </c>
      <c r="G57" s="4">
        <v>3.1309713866804284E-2</v>
      </c>
      <c r="H57" s="4">
        <v>2.0817538562170553E-2</v>
      </c>
      <c r="I57" s="4">
        <v>3.0012678436012068E-2</v>
      </c>
      <c r="J57" s="4">
        <v>5.5652101050183166E-2</v>
      </c>
      <c r="K57" s="4">
        <v>6.9103064618336013E-2</v>
      </c>
      <c r="L57" s="4">
        <v>1.6031748320921867E-2</v>
      </c>
      <c r="M57" s="4">
        <v>2.989849859404162E-2</v>
      </c>
      <c r="N57" s="4">
        <v>4.6433090114897796E-2</v>
      </c>
      <c r="O57" s="4">
        <v>5.1854535385876373E-2</v>
      </c>
      <c r="P57" s="4">
        <v>8.4458265530896859E-2</v>
      </c>
      <c r="Q57" s="4">
        <v>4.1217425622528663E-2</v>
      </c>
      <c r="R57" s="4">
        <v>6.7311280864628217E-2</v>
      </c>
      <c r="S57" s="4">
        <v>2.2784690522330429E-2</v>
      </c>
      <c r="T57" s="4">
        <v>4.1273684891913798E-2</v>
      </c>
      <c r="U57" s="4">
        <v>4.9401013858815311E-2</v>
      </c>
      <c r="V57" s="4">
        <v>3.4310428796832215E-2</v>
      </c>
      <c r="W57" s="4">
        <v>2.9714773489134625E-2</v>
      </c>
      <c r="X57" s="4">
        <v>4.5013344519022905E-2</v>
      </c>
      <c r="Y57" s="4">
        <v>2.1244653744983594E-2</v>
      </c>
      <c r="Z57" s="4">
        <v>3.5319321800516473E-2</v>
      </c>
      <c r="AA57" s="4">
        <v>7.3511488887436444E-2</v>
      </c>
      <c r="AB57" s="4">
        <v>5.0981664641029011E-2</v>
      </c>
      <c r="AC57" s="4">
        <v>8.5303011977335391E-2</v>
      </c>
      <c r="AD57" s="4">
        <v>3.8869017602642247E-2</v>
      </c>
      <c r="AE57" s="4">
        <v>4.1079878157948758E-2</v>
      </c>
      <c r="AF57" s="4">
        <v>2.2870921554677133E-2</v>
      </c>
      <c r="AG57" s="4">
        <v>6.4766503742039364E-2</v>
      </c>
      <c r="AH57" s="4">
        <v>7.554454969111507E-2</v>
      </c>
      <c r="AI57" s="4">
        <v>6.9045947959225473E-2</v>
      </c>
      <c r="AJ57" s="4">
        <v>4.1782156113981839E-2</v>
      </c>
      <c r="AK57" s="4">
        <v>2.0724561200578445E-2</v>
      </c>
      <c r="AL57" s="4">
        <v>7.1319642929795743E-2</v>
      </c>
      <c r="AM57" s="4">
        <v>4.2814458622724781E-2</v>
      </c>
      <c r="AN57" s="4">
        <v>4.1300896396519099E-2</v>
      </c>
      <c r="AO57" s="4">
        <v>4.6861600325824725E-2</v>
      </c>
      <c r="AP57" s="4">
        <v>5.0080528887645671E-2</v>
      </c>
      <c r="AQ57" s="4">
        <v>2.475099840266869E-2</v>
      </c>
      <c r="AR57" s="4">
        <v>6.6688574612144239E-2</v>
      </c>
      <c r="AS57" s="4">
        <v>3.0743292942177518E-2</v>
      </c>
      <c r="AT57" s="4">
        <v>3.4970688838353442E-2</v>
      </c>
      <c r="AU57" s="4">
        <v>3.4962749021055187E-2</v>
      </c>
      <c r="AV57" s="4">
        <v>2.0920624556396358E-2</v>
      </c>
      <c r="AW57" s="4">
        <v>5.5276256921320648E-2</v>
      </c>
      <c r="AX57" s="4">
        <v>6.808880078479132E-2</v>
      </c>
      <c r="AY57" s="4">
        <v>3.2699885115297755E-2</v>
      </c>
    </row>
    <row r="58" spans="1:51" x14ac:dyDescent="0.2">
      <c r="A58" s="5">
        <v>55</v>
      </c>
      <c r="B58" s="4">
        <v>2.7977667740431096E-2</v>
      </c>
      <c r="C58" s="4">
        <v>1.9598140853913211E-2</v>
      </c>
      <c r="D58" s="4">
        <v>3.3427265913497067E-2</v>
      </c>
      <c r="E58" s="4">
        <v>5.613505327180203E-2</v>
      </c>
      <c r="F58" s="4">
        <v>3.3682563674597252E-2</v>
      </c>
      <c r="G58" s="4">
        <v>3.1574069228478038E-2</v>
      </c>
      <c r="H58" s="4">
        <v>2.5245808470209893E-2</v>
      </c>
      <c r="I58" s="4">
        <v>2.9008681546956717E-2</v>
      </c>
      <c r="J58" s="4">
        <v>5.5690374809183964E-2</v>
      </c>
      <c r="K58" s="4">
        <v>6.2012321478300124E-2</v>
      </c>
      <c r="L58" s="4">
        <v>1.3886452556401823E-2</v>
      </c>
      <c r="M58" s="4">
        <v>2.8521066060247981E-2</v>
      </c>
      <c r="N58" s="4">
        <v>4.832437230236545E-2</v>
      </c>
      <c r="O58" s="4">
        <v>5.6411281689621125E-2</v>
      </c>
      <c r="P58" s="4">
        <v>8.9140037841018482E-2</v>
      </c>
      <c r="Q58" s="4">
        <v>4.2389380939449113E-2</v>
      </c>
      <c r="R58" s="4">
        <v>5.8319394814464007E-2</v>
      </c>
      <c r="S58" s="4">
        <v>2.3192005973512633E-2</v>
      </c>
      <c r="T58" s="4">
        <v>4.2430935645679187E-2</v>
      </c>
      <c r="U58" s="4">
        <v>4.9399457481331219E-2</v>
      </c>
      <c r="V58" s="4">
        <v>3.5801306319782684E-2</v>
      </c>
      <c r="W58" s="4">
        <v>3.3294746269528046E-2</v>
      </c>
      <c r="X58" s="4">
        <v>4.4887110707531104E-2</v>
      </c>
      <c r="Y58" s="4">
        <v>1.9092996814681979E-2</v>
      </c>
      <c r="Z58" s="4">
        <v>3.7706908747221379E-2</v>
      </c>
      <c r="AA58" s="4">
        <v>7.4070345491668174E-2</v>
      </c>
      <c r="AB58" s="4">
        <v>4.7971354710662314E-2</v>
      </c>
      <c r="AC58" s="4">
        <v>8.9337250011385969E-2</v>
      </c>
      <c r="AD58" s="4">
        <v>3.3988324448537069E-2</v>
      </c>
      <c r="AE58" s="4">
        <v>4.1298312689324018E-2</v>
      </c>
      <c r="AF58" s="4">
        <v>2.44316851642064E-2</v>
      </c>
      <c r="AG58" s="4">
        <v>6.1442268362898123E-2</v>
      </c>
      <c r="AH58" s="4">
        <v>7.6329854335040179E-2</v>
      </c>
      <c r="AI58" s="4">
        <v>6.798053773676295E-2</v>
      </c>
      <c r="AJ58" s="4">
        <v>4.5038102906208674E-2</v>
      </c>
      <c r="AK58" s="4">
        <v>2.1832086475131223E-2</v>
      </c>
      <c r="AL58" s="4">
        <v>7.3025015820688849E-2</v>
      </c>
      <c r="AM58" s="4">
        <v>4.8732794974106604E-2</v>
      </c>
      <c r="AN58" s="4">
        <v>3.8492815677978569E-2</v>
      </c>
      <c r="AO58" s="4">
        <v>5.0259475410731502E-2</v>
      </c>
      <c r="AP58" s="4">
        <v>4.6177440718447316E-2</v>
      </c>
      <c r="AQ58" s="4">
        <v>2.6045444164645448E-2</v>
      </c>
      <c r="AR58" s="4">
        <v>7.4069532404984317E-2</v>
      </c>
      <c r="AS58" s="4">
        <v>3.1979065268450686E-2</v>
      </c>
      <c r="AT58" s="4">
        <v>3.7477276025710334E-2</v>
      </c>
      <c r="AU58" s="4">
        <v>2.5046993483253052E-2</v>
      </c>
      <c r="AV58" s="4">
        <v>1.9019752949241648E-2</v>
      </c>
      <c r="AW58" s="4">
        <v>5.2800840864659214E-2</v>
      </c>
      <c r="AX58" s="4">
        <v>6.5449763319394269E-2</v>
      </c>
      <c r="AY58" s="4">
        <v>3.5810621559147188E-2</v>
      </c>
    </row>
    <row r="59" spans="1:51" x14ac:dyDescent="0.2">
      <c r="A59" s="5">
        <v>56</v>
      </c>
      <c r="B59" s="4">
        <v>2.6454183188763251E-2</v>
      </c>
      <c r="C59" s="4">
        <v>2.174124721472484E-2</v>
      </c>
      <c r="D59" s="4">
        <v>3.1596499440704716E-2</v>
      </c>
      <c r="E59" s="4">
        <v>5.1481172610248808E-2</v>
      </c>
      <c r="F59" s="4">
        <v>3.4984076979001265E-2</v>
      </c>
      <c r="G59" s="4">
        <v>3.047760537133196E-2</v>
      </c>
      <c r="H59" s="4">
        <v>2.3649136174796019E-2</v>
      </c>
      <c r="I59" s="4">
        <v>2.7398920829431725E-2</v>
      </c>
      <c r="J59" s="4">
        <v>5.0891952505198221E-2</v>
      </c>
      <c r="K59" s="4">
        <v>6.0127679601098792E-2</v>
      </c>
      <c r="L59" s="4">
        <v>1.7170300295533163E-2</v>
      </c>
      <c r="M59" s="4">
        <v>2.8267252864190972E-2</v>
      </c>
      <c r="N59" s="4">
        <v>4.9797628664201565E-2</v>
      </c>
      <c r="O59" s="4">
        <v>6.2899239545592206E-2</v>
      </c>
      <c r="P59" s="4">
        <v>8.7095666305193775E-2</v>
      </c>
      <c r="Q59" s="4">
        <v>4.1084931888967717E-2</v>
      </c>
      <c r="R59" s="4">
        <v>6.5005484876426156E-2</v>
      </c>
      <c r="S59" s="4">
        <v>2.1591203813148663E-2</v>
      </c>
      <c r="T59" s="4">
        <v>4.2754591833840075E-2</v>
      </c>
      <c r="U59" s="4">
        <v>4.9592337465915973E-2</v>
      </c>
      <c r="V59" s="4">
        <v>2.8411233359528141E-2</v>
      </c>
      <c r="W59" s="4">
        <v>3.7632038862096026E-2</v>
      </c>
      <c r="X59" s="4">
        <v>4.7878123103266279E-2</v>
      </c>
      <c r="Y59" s="4">
        <v>1.8060486993053793E-2</v>
      </c>
      <c r="Z59" s="4">
        <v>4.0658926781044658E-2</v>
      </c>
      <c r="AA59" s="4">
        <v>7.7247080537806753E-2</v>
      </c>
      <c r="AB59" s="4">
        <v>5.2597721695347127E-2</v>
      </c>
      <c r="AC59" s="4">
        <v>9.5691468450257985E-2</v>
      </c>
      <c r="AD59" s="4">
        <v>3.6617947577395511E-2</v>
      </c>
      <c r="AE59" s="4">
        <v>4.5890815293533213E-2</v>
      </c>
      <c r="AF59" s="4">
        <v>2.592483589306898E-2</v>
      </c>
      <c r="AG59" s="4">
        <v>6.2077507432892275E-2</v>
      </c>
      <c r="AH59" s="4">
        <v>7.6552042600669917E-2</v>
      </c>
      <c r="AI59" s="4">
        <v>7.1616667627726338E-2</v>
      </c>
      <c r="AJ59" s="4">
        <v>4.2550502606947566E-2</v>
      </c>
      <c r="AK59" s="4">
        <v>1.9998398191840037E-2</v>
      </c>
      <c r="AL59" s="4">
        <v>7.2787352914398085E-2</v>
      </c>
      <c r="AM59" s="4">
        <v>4.5690364655220479E-2</v>
      </c>
      <c r="AN59" s="4">
        <v>3.677011709513147E-2</v>
      </c>
      <c r="AO59" s="4">
        <v>4.8466911257426436E-2</v>
      </c>
      <c r="AP59" s="4">
        <v>4.6219121885481336E-2</v>
      </c>
      <c r="AQ59" s="4">
        <v>2.6534624829458026E-2</v>
      </c>
      <c r="AR59" s="4">
        <v>7.5734994171945499E-2</v>
      </c>
      <c r="AS59" s="4">
        <v>2.8753310449445704E-2</v>
      </c>
      <c r="AT59" s="4">
        <v>3.8531376168902495E-2</v>
      </c>
      <c r="AU59" s="4">
        <v>2.7985665176734686E-2</v>
      </c>
      <c r="AV59" s="4">
        <v>1.5098681311844053E-2</v>
      </c>
      <c r="AW59" s="4">
        <v>5.7301699753099219E-2</v>
      </c>
      <c r="AX59" s="4">
        <v>6.140713131649541E-2</v>
      </c>
      <c r="AY59" s="4">
        <v>3.2407611134728821E-2</v>
      </c>
    </row>
    <row r="60" spans="1:51" x14ac:dyDescent="0.2">
      <c r="A60" s="5">
        <v>57</v>
      </c>
      <c r="B60" s="4">
        <v>2.2988957956463094E-2</v>
      </c>
      <c r="C60" s="4">
        <v>1.7846006235431835E-2</v>
      </c>
      <c r="D60" s="4">
        <v>3.1294702696878687E-2</v>
      </c>
      <c r="E60" s="4">
        <v>5.1737771663681195E-2</v>
      </c>
      <c r="F60" s="4">
        <v>3.9102652071608429E-2</v>
      </c>
      <c r="G60" s="4">
        <v>2.551791625789699E-2</v>
      </c>
      <c r="H60" s="4">
        <v>2.1457827328515047E-2</v>
      </c>
      <c r="I60" s="4">
        <v>3.1219620268396253E-2</v>
      </c>
      <c r="J60" s="4">
        <v>4.7499976027650985E-2</v>
      </c>
      <c r="K60" s="4">
        <v>5.2267438669877472E-2</v>
      </c>
      <c r="L60" s="4">
        <v>1.775142635655334E-2</v>
      </c>
      <c r="M60" s="4">
        <v>2.5950702114743079E-2</v>
      </c>
      <c r="N60" s="4">
        <v>5.2169669837873703E-2</v>
      </c>
      <c r="O60" s="4">
        <v>7.0970634341259359E-2</v>
      </c>
      <c r="P60" s="4">
        <v>8.0797803053187303E-2</v>
      </c>
      <c r="Q60" s="4">
        <v>4.6504935415571422E-2</v>
      </c>
      <c r="R60" s="4">
        <v>6.5276217068709674E-2</v>
      </c>
      <c r="S60" s="4">
        <v>2.2694522443030773E-2</v>
      </c>
      <c r="T60" s="4">
        <v>3.541883341196421E-2</v>
      </c>
      <c r="U60" s="4">
        <v>5.2132903139506026E-2</v>
      </c>
      <c r="V60" s="4">
        <v>2.5433519939296705E-2</v>
      </c>
      <c r="W60" s="4">
        <v>4.1005195954340629E-2</v>
      </c>
      <c r="X60" s="4">
        <v>4.6544753060545029E-2</v>
      </c>
      <c r="Y60" s="4">
        <v>1.9291633538298721E-2</v>
      </c>
      <c r="Z60" s="4">
        <v>4.2257801636764201E-2</v>
      </c>
      <c r="AA60" s="4">
        <v>6.7641449918568561E-2</v>
      </c>
      <c r="AB60" s="4">
        <v>5.4583751679149778E-2</v>
      </c>
      <c r="AC60" s="4">
        <v>9.3840194498799392E-2</v>
      </c>
      <c r="AD60" s="4">
        <v>3.6396508947863442E-2</v>
      </c>
      <c r="AE60" s="4">
        <v>4.056360633352319E-2</v>
      </c>
      <c r="AF60" s="4">
        <v>2.8569848973627205E-2</v>
      </c>
      <c r="AG60" s="4">
        <v>5.7481297195557078E-2</v>
      </c>
      <c r="AH60" s="4">
        <v>7.6095939618726779E-2</v>
      </c>
      <c r="AI60" s="4">
        <v>8.1472734852009357E-2</v>
      </c>
      <c r="AJ60" s="4">
        <v>4.2162580809962748E-2</v>
      </c>
      <c r="AK60" s="4">
        <v>2.0660244176398751E-2</v>
      </c>
      <c r="AL60" s="4">
        <v>7.9338536167711776E-2</v>
      </c>
      <c r="AM60" s="4">
        <v>3.8207143259904069E-2</v>
      </c>
      <c r="AN60" s="4">
        <v>4.1357785990533504E-2</v>
      </c>
      <c r="AO60" s="4">
        <v>4.4021115076603987E-2</v>
      </c>
      <c r="AP60" s="4">
        <v>4.2699713826219544E-2</v>
      </c>
      <c r="AQ60" s="4">
        <v>2.3672116514622046E-2</v>
      </c>
      <c r="AR60" s="4">
        <v>7.3309126454701778E-2</v>
      </c>
      <c r="AS60" s="4">
        <v>2.8628322413607896E-2</v>
      </c>
      <c r="AT60" s="4">
        <v>3.5485398031152776E-2</v>
      </c>
      <c r="AU60" s="4">
        <v>2.752751225209896E-2</v>
      </c>
      <c r="AV60" s="4">
        <v>1.1145933635256428E-2</v>
      </c>
      <c r="AW60" s="4">
        <v>5.9040541529677651E-2</v>
      </c>
      <c r="AX60" s="4">
        <v>6.1158986928295161E-2</v>
      </c>
      <c r="AY60" s="4">
        <v>3.0300859579794264E-2</v>
      </c>
    </row>
    <row r="61" spans="1:51" x14ac:dyDescent="0.2">
      <c r="A61" s="5">
        <v>58</v>
      </c>
      <c r="B61" s="4">
        <v>2.7764773173612641E-2</v>
      </c>
      <c r="C61" s="4">
        <v>1.9556951873036542E-2</v>
      </c>
      <c r="D61" s="4">
        <v>3.6782475284046538E-2</v>
      </c>
      <c r="E61" s="4">
        <v>5.4798433808799785E-2</v>
      </c>
      <c r="F61" s="4">
        <v>4.1578258428301818E-2</v>
      </c>
      <c r="G61" s="4">
        <v>2.3658981327182398E-2</v>
      </c>
      <c r="H61" s="4">
        <v>2.2694627596829189E-2</v>
      </c>
      <c r="I61" s="4">
        <v>2.8450159172404416E-2</v>
      </c>
      <c r="J61" s="4">
        <v>4.6089836746189286E-2</v>
      </c>
      <c r="K61" s="4">
        <v>5.4553026512896091E-2</v>
      </c>
      <c r="L61" s="4">
        <v>1.9526681211829062E-2</v>
      </c>
      <c r="M61" s="4">
        <v>2.3218017566626139E-2</v>
      </c>
      <c r="N61" s="4">
        <v>5.2162807072244709E-2</v>
      </c>
      <c r="O61" s="4">
        <v>7.3860177546167166E-2</v>
      </c>
      <c r="P61" s="4">
        <v>7.6604860087452237E-2</v>
      </c>
      <c r="Q61" s="4">
        <v>4.8546625751144594E-2</v>
      </c>
      <c r="R61" s="4">
        <v>6.807719842373107E-2</v>
      </c>
      <c r="S61" s="4">
        <v>2.680642077283809E-2</v>
      </c>
      <c r="T61" s="4">
        <v>3.4496841774599524E-2</v>
      </c>
      <c r="U61" s="4">
        <v>5.2978406691135564E-2</v>
      </c>
      <c r="V61" s="4">
        <v>2.289073226128566E-2</v>
      </c>
      <c r="W61" s="4">
        <v>4.0244221387604841E-2</v>
      </c>
      <c r="X61" s="4">
        <v>5.1682573877338205E-2</v>
      </c>
      <c r="Y61" s="4">
        <v>1.9708520755334753E-2</v>
      </c>
      <c r="Z61" s="4">
        <v>3.6733005559200414E-2</v>
      </c>
      <c r="AA61" s="4">
        <v>7.2746189730884481E-2</v>
      </c>
      <c r="AB61" s="4">
        <v>5.5494359599175994E-2</v>
      </c>
      <c r="AC61" s="4">
        <v>9.9870899893857432E-2</v>
      </c>
      <c r="AD61" s="4">
        <v>3.2160287033297263E-2</v>
      </c>
      <c r="AE61" s="4">
        <v>3.8823291626772304E-2</v>
      </c>
      <c r="AF61" s="4">
        <v>2.7940606022361411E-2</v>
      </c>
      <c r="AG61" s="4">
        <v>4.7139301357815813E-2</v>
      </c>
      <c r="AH61" s="4">
        <v>7.603379754620071E-2</v>
      </c>
      <c r="AI61" s="4">
        <v>7.9645561448375493E-2</v>
      </c>
      <c r="AJ61" s="4">
        <v>3.9954331297724854E-2</v>
      </c>
      <c r="AK61" s="4">
        <v>1.9717308796173852E-2</v>
      </c>
      <c r="AL61" s="4">
        <v>7.5608211900126107E-2</v>
      </c>
      <c r="AM61" s="4">
        <v>3.4849430258365267E-2</v>
      </c>
      <c r="AN61" s="4">
        <v>4.3425743529895651E-2</v>
      </c>
      <c r="AO61" s="4">
        <v>4.9793016187167742E-2</v>
      </c>
      <c r="AP61" s="4">
        <v>3.8626618703755056E-2</v>
      </c>
      <c r="AQ61" s="4">
        <v>2.2265481681455802E-2</v>
      </c>
      <c r="AR61" s="4">
        <v>7.5045397910150219E-2</v>
      </c>
      <c r="AS61" s="4">
        <v>2.6314451185787232E-2</v>
      </c>
      <c r="AT61" s="4">
        <v>3.1806137140824725E-2</v>
      </c>
      <c r="AU61" s="4">
        <v>2.8569006040110541E-2</v>
      </c>
      <c r="AV61" s="4">
        <v>1.0808405526168121E-2</v>
      </c>
      <c r="AW61" s="4">
        <v>6.3683660931910108E-2</v>
      </c>
      <c r="AX61" s="4">
        <v>6.1901984815410073E-2</v>
      </c>
      <c r="AY61" s="4">
        <v>2.8898016395698726E-2</v>
      </c>
    </row>
    <row r="62" spans="1:51" x14ac:dyDescent="0.2">
      <c r="A62" s="5">
        <v>59</v>
      </c>
      <c r="B62" s="4">
        <v>3.0796367350648259E-2</v>
      </c>
      <c r="C62" s="4">
        <v>2.5939220318733681E-2</v>
      </c>
      <c r="D62" s="4">
        <v>4.1363781880868339E-2</v>
      </c>
      <c r="E62" s="4">
        <v>6.0727512587192112E-2</v>
      </c>
      <c r="F62" s="4">
        <v>4.5757673209680071E-2</v>
      </c>
      <c r="G62" s="4">
        <v>2.0398124027654965E-2</v>
      </c>
      <c r="H62" s="4">
        <v>2.6098403354525679E-2</v>
      </c>
      <c r="I62" s="4">
        <v>2.9152671375393135E-2</v>
      </c>
      <c r="J62" s="4">
        <v>4.0459234696665757E-2</v>
      </c>
      <c r="K62" s="4">
        <v>5.0136313447366535E-2</v>
      </c>
      <c r="L62" s="4">
        <v>2.0293800399180582E-2</v>
      </c>
      <c r="M62" s="4">
        <v>2.2834051720183796E-2</v>
      </c>
      <c r="N62" s="4">
        <v>4.9164306296922193E-2</v>
      </c>
      <c r="O62" s="4">
        <v>7.3546232127730052E-2</v>
      </c>
      <c r="P62" s="4">
        <v>7.8546206250540582E-2</v>
      </c>
      <c r="Q62" s="4">
        <v>5.2170133767408616E-2</v>
      </c>
      <c r="R62" s="4">
        <v>6.0779806973927673E-2</v>
      </c>
      <c r="S62" s="4">
        <v>2.7106970230626738E-2</v>
      </c>
      <c r="T62" s="4">
        <v>3.6860623621913773E-2</v>
      </c>
      <c r="U62" s="4">
        <v>5.2341066317737252E-2</v>
      </c>
      <c r="V62" s="4">
        <v>2.3080613710702507E-2</v>
      </c>
      <c r="W62" s="4">
        <v>4.8692735928593051E-2</v>
      </c>
      <c r="X62" s="4">
        <v>4.6781515501291698E-2</v>
      </c>
      <c r="Y62" s="4">
        <v>2.1065471467856475E-2</v>
      </c>
      <c r="Z62" s="4">
        <v>3.1475689426302564E-2</v>
      </c>
      <c r="AA62" s="4">
        <v>6.4913583822777593E-2</v>
      </c>
      <c r="AB62" s="4">
        <v>5.4185698038642913E-2</v>
      </c>
      <c r="AC62" s="4">
        <v>0.10582351392968335</v>
      </c>
      <c r="AD62" s="4">
        <v>2.8438042327192471E-2</v>
      </c>
      <c r="AE62" s="4">
        <v>4.4009665428779529E-2</v>
      </c>
      <c r="AF62" s="4">
        <v>2.7978315854199666E-2</v>
      </c>
      <c r="AG62" s="4">
        <v>4.7005474923123243E-2</v>
      </c>
      <c r="AH62" s="4">
        <v>7.2391096080205247E-2</v>
      </c>
      <c r="AI62" s="4">
        <v>8.5937978166749224E-2</v>
      </c>
      <c r="AJ62" s="4">
        <v>4.2878631353265917E-2</v>
      </c>
      <c r="AK62" s="4">
        <v>1.7568993602155782E-2</v>
      </c>
      <c r="AL62" s="4">
        <v>7.6197635176684611E-2</v>
      </c>
      <c r="AM62" s="4">
        <v>3.8812524957902404E-2</v>
      </c>
      <c r="AN62" s="4">
        <v>4.5077904223037764E-2</v>
      </c>
      <c r="AO62" s="4">
        <v>4.4840019066051007E-2</v>
      </c>
      <c r="AP62" s="4">
        <v>4.140653271660124E-2</v>
      </c>
      <c r="AQ62" s="4">
        <v>2.1316847469703654E-2</v>
      </c>
      <c r="AR62" s="4">
        <v>7.252321987422955E-2</v>
      </c>
      <c r="AS62" s="4">
        <v>2.9731985520082115E-2</v>
      </c>
      <c r="AT62" s="4">
        <v>3.1198866566490374E-2</v>
      </c>
      <c r="AU62" s="4">
        <v>3.0247803549977009E-2</v>
      </c>
      <c r="AV62" s="4">
        <v>9.8376574395643498E-3</v>
      </c>
      <c r="AW62" s="4">
        <v>6.5168624821963339E-2</v>
      </c>
      <c r="AX62" s="4">
        <v>5.9650827290079436E-2</v>
      </c>
      <c r="AY62" s="4">
        <v>2.9277847047813839E-2</v>
      </c>
    </row>
    <row r="63" spans="1:51" x14ac:dyDescent="0.2">
      <c r="A63" s="5">
        <v>60</v>
      </c>
      <c r="B63" s="4">
        <v>2.6636707093453844E-2</v>
      </c>
      <c r="C63" s="4">
        <v>2.9543432585561785E-2</v>
      </c>
      <c r="D63" s="4">
        <v>4.3237277093778552E-2</v>
      </c>
      <c r="E63" s="4">
        <v>6.1564181225138973E-2</v>
      </c>
      <c r="F63" s="4">
        <v>4.2354835169730182E-2</v>
      </c>
      <c r="G63" s="4">
        <v>1.7418344723817352E-2</v>
      </c>
      <c r="H63" s="4">
        <v>2.7768877684319401E-2</v>
      </c>
      <c r="I63" s="4">
        <v>2.9321608494996258E-2</v>
      </c>
      <c r="J63" s="4">
        <v>4.2930591501674858E-2</v>
      </c>
      <c r="K63" s="4">
        <v>4.9759314451916829E-2</v>
      </c>
      <c r="L63" s="4">
        <v>2.3360261733402124E-2</v>
      </c>
      <c r="M63" s="4">
        <v>2.0852596727185264E-2</v>
      </c>
      <c r="N63" s="4">
        <v>4.8655180404652394E-2</v>
      </c>
      <c r="O63" s="4">
        <v>7.30421574757317E-2</v>
      </c>
      <c r="P63" s="4">
        <v>7.4937690557524847E-2</v>
      </c>
      <c r="Q63" s="4">
        <v>5.9935522986267427E-2</v>
      </c>
      <c r="R63" s="4">
        <v>5.9590701807081661E-2</v>
      </c>
      <c r="S63" s="4">
        <v>2.6416286385066875E-2</v>
      </c>
      <c r="T63" s="4">
        <v>4.0173013450880798E-2</v>
      </c>
      <c r="U63" s="4">
        <v>5.4666265833760552E-2</v>
      </c>
      <c r="V63" s="4">
        <v>2.5240342868401211E-2</v>
      </c>
      <c r="W63" s="4">
        <v>5.4369404439814049E-2</v>
      </c>
      <c r="X63" s="4">
        <v>4.7757716700899892E-2</v>
      </c>
      <c r="Y63" s="4">
        <v>2.0637744428166658E-2</v>
      </c>
      <c r="Z63" s="4">
        <v>2.6662594839094934E-2</v>
      </c>
      <c r="AA63" s="4">
        <v>6.2304065869043947E-2</v>
      </c>
      <c r="AB63" s="4">
        <v>5.3600920658160377E-2</v>
      </c>
      <c r="AC63" s="4">
        <v>0.10235828041029793</v>
      </c>
      <c r="AD63" s="4">
        <v>3.2180532330274743E-2</v>
      </c>
      <c r="AE63" s="4">
        <v>4.5787093931881566E-2</v>
      </c>
      <c r="AF63" s="4">
        <v>3.3678128192796267E-2</v>
      </c>
      <c r="AG63" s="4">
        <v>4.5724931443278855E-2</v>
      </c>
      <c r="AH63" s="4">
        <v>7.2333598201107671E-2</v>
      </c>
      <c r="AI63" s="4">
        <v>9.0432993999579922E-2</v>
      </c>
      <c r="AJ63" s="4">
        <v>4.4791714734331051E-2</v>
      </c>
      <c r="AK63" s="4">
        <v>2.0026673216094724E-2</v>
      </c>
      <c r="AL63" s="4">
        <v>7.7523750377085893E-2</v>
      </c>
      <c r="AM63" s="4">
        <v>4.0228030771304789E-2</v>
      </c>
      <c r="AN63" s="4">
        <v>5.0536866603596957E-2</v>
      </c>
      <c r="AO63" s="4">
        <v>4.7203922655758589E-2</v>
      </c>
      <c r="AP63" s="4">
        <v>4.155371217206396E-2</v>
      </c>
      <c r="AQ63" s="4">
        <v>1.9745145103072521E-2</v>
      </c>
      <c r="AR63" s="4">
        <v>7.5533951018129888E-2</v>
      </c>
      <c r="AS63" s="4">
        <v>2.6921909346396121E-2</v>
      </c>
      <c r="AT63" s="4">
        <v>3.1177091788241861E-2</v>
      </c>
      <c r="AU63" s="4">
        <v>3.3680205330163956E-2</v>
      </c>
      <c r="AV63" s="4">
        <v>7.519555746257834E-3</v>
      </c>
      <c r="AW63" s="4">
        <v>6.3632754380796047E-2</v>
      </c>
      <c r="AX63" s="4">
        <v>5.9063061256484986E-2</v>
      </c>
      <c r="AY63" s="4">
        <v>3.1343658809540313E-2</v>
      </c>
    </row>
  </sheetData>
  <mergeCells count="1">
    <mergeCell ref="A1:AY1"/>
  </mergeCells>
  <conditionalFormatting sqref="B4:AY63">
    <cfRule type="cellIs" dxfId="2" priority="1" operator="greaterThan">
      <formula>CIR_theta</formula>
    </cfRule>
  </conditionalFormatting>
  <conditionalFormatting sqref="B4:AY63">
    <cfRule type="cellIs" dxfId="1" priority="2" operator="lessThan">
      <formula>0.02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5782-53DD-1A4D-A3F0-48DA2ABAD4FC}">
  <dimension ref="A1:M10"/>
  <sheetViews>
    <sheetView showGridLines="0" workbookViewId="0">
      <pane ySplit="3" topLeftCell="A4" activePane="bottomLeft" state="frozen"/>
      <selection pane="bottomLeft" activeCell="M8" sqref="M8"/>
    </sheetView>
  </sheetViews>
  <sheetFormatPr baseColWidth="10" defaultRowHeight="16" x14ac:dyDescent="0.2"/>
  <cols>
    <col min="1" max="1" width="7.5" customWidth="1"/>
    <col min="2" max="4" width="20" customWidth="1"/>
    <col min="5" max="5" width="15" customWidth="1"/>
    <col min="6" max="13" width="20" customWidth="1"/>
  </cols>
  <sheetData>
    <row r="1" spans="1:13" ht="19" x14ac:dyDescent="0.25">
      <c r="A1" s="2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9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7" t="s">
        <v>69</v>
      </c>
      <c r="B3" s="7" t="s">
        <v>70</v>
      </c>
      <c r="C3" s="10" t="s">
        <v>71</v>
      </c>
      <c r="D3" s="10" t="s">
        <v>72</v>
      </c>
      <c r="E3" s="7" t="s">
        <v>73</v>
      </c>
      <c r="F3" s="10" t="s">
        <v>74</v>
      </c>
      <c r="G3" s="10" t="s">
        <v>75</v>
      </c>
      <c r="H3" s="12" t="s">
        <v>76</v>
      </c>
      <c r="I3" s="12" t="s">
        <v>77</v>
      </c>
      <c r="J3" s="12" t="s">
        <v>78</v>
      </c>
      <c r="K3" s="12" t="s">
        <v>79</v>
      </c>
      <c r="L3" s="7" t="s">
        <v>80</v>
      </c>
      <c r="M3" s="7" t="s">
        <v>81</v>
      </c>
    </row>
    <row r="4" spans="1:13" x14ac:dyDescent="0.2">
      <c r="A4" s="5">
        <v>1</v>
      </c>
      <c r="B4" s="3">
        <f>Asset_Par-(A4-1)*Annual_Maturity</f>
        <v>100000000</v>
      </c>
      <c r="C4" s="11">
        <f>B4*Asset_Coupon</f>
        <v>4000000</v>
      </c>
      <c r="D4" s="11">
        <f>Annual_Maturity</f>
        <v>20000000</v>
      </c>
      <c r="E4" s="4">
        <f>AVERAGE('CIR Scenarios'!B4:B15)</f>
        <v>3.4090681500640145E-2</v>
      </c>
      <c r="F4" s="11">
        <v>0</v>
      </c>
      <c r="G4" s="14">
        <f>C4+D4+F4</f>
        <v>24000000</v>
      </c>
      <c r="H4" s="13">
        <f>FABN_Face*FABN_Rate</f>
        <v>3500000.0000000005</v>
      </c>
      <c r="I4" s="13">
        <f>IF(A4=FABN_Maturity,FABN_Face,0)</f>
        <v>0</v>
      </c>
      <c r="J4" s="13">
        <f>Expenses</f>
        <v>50000</v>
      </c>
      <c r="K4" s="15">
        <f>H4+I4+J4</f>
        <v>3550000.0000000005</v>
      </c>
      <c r="L4" s="16">
        <f>G4-K4</f>
        <v>20450000</v>
      </c>
      <c r="M4" s="16">
        <f>L4</f>
        <v>20450000</v>
      </c>
    </row>
    <row r="5" spans="1:13" x14ac:dyDescent="0.2">
      <c r="A5" s="5">
        <v>2</v>
      </c>
      <c r="B5" s="3">
        <f>Asset_Par-(A5-1)*Annual_Maturity</f>
        <v>80000000</v>
      </c>
      <c r="C5" s="11">
        <f>B5*Asset_Coupon</f>
        <v>3200000</v>
      </c>
      <c r="D5" s="11">
        <f>Annual_Maturity</f>
        <v>20000000</v>
      </c>
      <c r="E5" s="4">
        <f>AVERAGE('CIR Scenarios'!B16:B27)</f>
        <v>3.3256437388160018E-2</v>
      </c>
      <c r="F5" s="11">
        <f>IF(M4&gt;0,M4*E5,0)</f>
        <v>680094.14458787232</v>
      </c>
      <c r="G5" s="14">
        <f>C5+D5+F5</f>
        <v>23880094.144587871</v>
      </c>
      <c r="H5" s="13">
        <f>FABN_Face*FABN_Rate</f>
        <v>3500000.0000000005</v>
      </c>
      <c r="I5" s="13">
        <f>IF(A5=FABN_Maturity,FABN_Face,0)</f>
        <v>0</v>
      </c>
      <c r="J5" s="13">
        <f>Expenses</f>
        <v>50000</v>
      </c>
      <c r="K5" s="15">
        <f>H5+I5+J5</f>
        <v>3550000.0000000005</v>
      </c>
      <c r="L5" s="16">
        <f>G5-K5</f>
        <v>20330094.144587871</v>
      </c>
      <c r="M5" s="16">
        <f>M4+L5</f>
        <v>40780094.144587874</v>
      </c>
    </row>
    <row r="6" spans="1:13" x14ac:dyDescent="0.2">
      <c r="A6" s="5">
        <v>3</v>
      </c>
      <c r="B6" s="3">
        <f>Asset_Par-(A6-1)*Annual_Maturity</f>
        <v>60000000</v>
      </c>
      <c r="C6" s="11">
        <f>B6*Asset_Coupon</f>
        <v>2400000</v>
      </c>
      <c r="D6" s="11">
        <f>Annual_Maturity</f>
        <v>20000000</v>
      </c>
      <c r="E6" s="4">
        <f>AVERAGE('CIR Scenarios'!B28:B39)</f>
        <v>3.2733510134233867E-2</v>
      </c>
      <c r="F6" s="11">
        <f>IF(M5&gt;0,M5*E6,0)</f>
        <v>1334875.6249568784</v>
      </c>
      <c r="G6" s="14">
        <f>C6+D6+F6</f>
        <v>23734875.62495688</v>
      </c>
      <c r="H6" s="13">
        <f>FABN_Face*FABN_Rate</f>
        <v>3500000.0000000005</v>
      </c>
      <c r="I6" s="13">
        <f>IF(A6=FABN_Maturity,FABN_Face,0)</f>
        <v>0</v>
      </c>
      <c r="J6" s="13">
        <f>Expenses</f>
        <v>50000</v>
      </c>
      <c r="K6" s="15">
        <f>H6+I6+J6</f>
        <v>3550000.0000000005</v>
      </c>
      <c r="L6" s="16">
        <f>G6-K6</f>
        <v>20184875.62495688</v>
      </c>
      <c r="M6" s="16">
        <f>M5+L6</f>
        <v>60964969.76954475</v>
      </c>
    </row>
    <row r="7" spans="1:13" x14ac:dyDescent="0.2">
      <c r="A7" s="5">
        <v>4</v>
      </c>
      <c r="B7" s="3">
        <f>Asset_Par-(A7-1)*Annual_Maturity</f>
        <v>40000000</v>
      </c>
      <c r="C7" s="11">
        <f>B7*Asset_Coupon</f>
        <v>1600000</v>
      </c>
      <c r="D7" s="11">
        <f>Annual_Maturity</f>
        <v>20000000</v>
      </c>
      <c r="E7" s="4">
        <f>AVERAGE('CIR Scenarios'!B40:B51)</f>
        <v>3.6005772584764374E-2</v>
      </c>
      <c r="F7" s="11">
        <f>IF(M6&gt;0,M6*E7,0)</f>
        <v>2195090.8371592634</v>
      </c>
      <c r="G7" s="14">
        <f>C7+D7+F7</f>
        <v>23795090.837159265</v>
      </c>
      <c r="H7" s="13">
        <f>FABN_Face*FABN_Rate</f>
        <v>3500000.0000000005</v>
      </c>
      <c r="I7" s="13">
        <f>IF(A7=FABN_Maturity,FABN_Face,0)</f>
        <v>0</v>
      </c>
      <c r="J7" s="13">
        <f>Expenses</f>
        <v>50000</v>
      </c>
      <c r="K7" s="15">
        <f>H7+I7+J7</f>
        <v>3550000.0000000005</v>
      </c>
      <c r="L7" s="16">
        <f>G7-K7</f>
        <v>20245090.837159265</v>
      </c>
      <c r="M7" s="16">
        <f>M6+L7</f>
        <v>81210060.606704012</v>
      </c>
    </row>
    <row r="8" spans="1:13" x14ac:dyDescent="0.2">
      <c r="A8" s="5">
        <v>5</v>
      </c>
      <c r="B8" s="3">
        <f>Asset_Par-(A8-1)*Annual_Maturity</f>
        <v>20000000</v>
      </c>
      <c r="C8" s="11">
        <f>B8*Asset_Coupon</f>
        <v>800000</v>
      </c>
      <c r="D8" s="11">
        <f>Annual_Maturity</f>
        <v>20000000</v>
      </c>
      <c r="E8" s="4">
        <f>AVERAGE('CIR Scenarios'!B52:B63)</f>
        <v>3.3865587136468291E-2</v>
      </c>
      <c r="F8" s="11">
        <f>IF(M7&gt;0,M7*E8,0)</f>
        <v>2750226.3838342056</v>
      </c>
      <c r="G8" s="14">
        <f>C8+D8+F8</f>
        <v>23550226.383834206</v>
      </c>
      <c r="H8" s="13">
        <f>FABN_Face*FABN_Rate</f>
        <v>3500000.0000000005</v>
      </c>
      <c r="I8" s="13">
        <f>IF(A8=FABN_Maturity,FABN_Face,0)</f>
        <v>100000000</v>
      </c>
      <c r="J8" s="13">
        <f>Expenses</f>
        <v>50000</v>
      </c>
      <c r="K8" s="15">
        <f>H8+I8+J8</f>
        <v>103550000</v>
      </c>
      <c r="L8" s="16">
        <f>G8-K8</f>
        <v>-79999773.616165787</v>
      </c>
      <c r="M8" s="16">
        <f>M7+L8</f>
        <v>1210286.9905382246</v>
      </c>
    </row>
    <row r="10" spans="1:13" x14ac:dyDescent="0.2">
      <c r="A10" s="46" t="s">
        <v>156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E4A4-BB43-3F4D-81B0-D84F6ACED436}">
  <dimension ref="A1:I63"/>
  <sheetViews>
    <sheetView showGridLines="0" workbookViewId="0">
      <pane ySplit="3" topLeftCell="A4" activePane="bottomLeft" state="frozen"/>
      <selection pane="bottomLeft" activeCell="E21" sqref="E21"/>
    </sheetView>
  </sheetViews>
  <sheetFormatPr baseColWidth="10" defaultRowHeight="16" x14ac:dyDescent="0.2"/>
  <cols>
    <col min="1" max="1" width="28.33203125" customWidth="1"/>
    <col min="2" max="3" width="18.33203125" customWidth="1"/>
    <col min="4" max="5" width="15" customWidth="1"/>
    <col min="6" max="6" width="5" customWidth="1"/>
    <col min="7" max="7" width="13.33203125" customWidth="1"/>
    <col min="8" max="9" width="16.6640625" customWidth="1"/>
  </cols>
  <sheetData>
    <row r="1" spans="1:9" ht="19" x14ac:dyDescent="0.25">
      <c r="A1" s="2" t="s">
        <v>82</v>
      </c>
      <c r="B1" s="1"/>
      <c r="C1" s="1"/>
      <c r="D1" s="1"/>
      <c r="E1" s="1"/>
      <c r="F1" s="1"/>
      <c r="G1" s="1"/>
      <c r="H1" s="1"/>
    </row>
    <row r="2" spans="1:9" x14ac:dyDescent="0.2">
      <c r="A2" s="8" t="s">
        <v>83</v>
      </c>
      <c r="B2" s="1"/>
      <c r="C2" s="1"/>
      <c r="D2" s="1"/>
      <c r="E2" s="1"/>
      <c r="F2" s="1"/>
      <c r="G2" s="1"/>
      <c r="H2" s="1"/>
    </row>
    <row r="3" spans="1:9" x14ac:dyDescent="0.2">
      <c r="A3" s="7" t="s">
        <v>69</v>
      </c>
      <c r="B3" s="7" t="s">
        <v>81</v>
      </c>
      <c r="C3" s="7" t="s">
        <v>84</v>
      </c>
      <c r="D3" s="7" t="s">
        <v>85</v>
      </c>
      <c r="E3" s="7" t="s">
        <v>86</v>
      </c>
      <c r="G3" s="17" t="s">
        <v>87</v>
      </c>
      <c r="H3" s="17" t="s">
        <v>88</v>
      </c>
      <c r="I3" s="17" t="s">
        <v>89</v>
      </c>
    </row>
    <row r="4" spans="1:9" x14ac:dyDescent="0.2">
      <c r="A4" s="5">
        <v>1</v>
      </c>
      <c r="B4" s="3">
        <f>'Cash Flows - Scenario 1'!M4</f>
        <v>20450000</v>
      </c>
      <c r="C4" s="3">
        <f>MAX(0,-B4)</f>
        <v>0</v>
      </c>
      <c r="D4" s="21">
        <f>I15</f>
        <v>0.96653094750372637</v>
      </c>
      <c r="E4" s="3">
        <f>C4*D4</f>
        <v>0</v>
      </c>
      <c r="G4">
        <v>1</v>
      </c>
      <c r="H4" s="4">
        <f>'CIR Scenarios'!B4</f>
        <v>3.6664229300326118E-2</v>
      </c>
      <c r="I4" s="21">
        <f>1/(1+H4/12)</f>
        <v>0.99695395430146871</v>
      </c>
    </row>
    <row r="5" spans="1:9" x14ac:dyDescent="0.2">
      <c r="A5" s="5">
        <v>2</v>
      </c>
      <c r="B5" s="3">
        <f>'Cash Flows - Scenario 1'!M5</f>
        <v>40780094.144587874</v>
      </c>
      <c r="C5" s="3">
        <f>MAX(0,-B5)</f>
        <v>0</v>
      </c>
      <c r="D5" s="21">
        <f>I27</f>
        <v>0.93495979777994975</v>
      </c>
      <c r="E5" s="3">
        <f>C5*D5</f>
        <v>0</v>
      </c>
      <c r="G5">
        <v>2</v>
      </c>
      <c r="H5" s="4">
        <f>'CIR Scenarios'!B5</f>
        <v>3.4322269717447985E-2</v>
      </c>
      <c r="I5" s="21">
        <f>I4/(1+H5/12)</f>
        <v>0.99411060992789202</v>
      </c>
    </row>
    <row r="6" spans="1:9" x14ac:dyDescent="0.2">
      <c r="A6" s="5">
        <v>3</v>
      </c>
      <c r="B6" s="3">
        <f>'Cash Flows - Scenario 1'!M6</f>
        <v>60964969.76954475</v>
      </c>
      <c r="C6" s="3">
        <f>MAX(0,-B6)</f>
        <v>0</v>
      </c>
      <c r="D6" s="21">
        <f>I39</f>
        <v>0.90489134516590342</v>
      </c>
      <c r="E6" s="3">
        <f>C6*D6</f>
        <v>0</v>
      </c>
      <c r="G6">
        <v>3</v>
      </c>
      <c r="H6" s="4">
        <f>'CIR Scenarios'!B6</f>
        <v>3.4482850787575146E-2</v>
      </c>
      <c r="I6" s="21">
        <f>I5/(1+H6/12)</f>
        <v>0.99126214786653755</v>
      </c>
    </row>
    <row r="7" spans="1:9" x14ac:dyDescent="0.2">
      <c r="A7" s="5">
        <v>4</v>
      </c>
      <c r="B7" s="3">
        <f>'Cash Flows - Scenario 1'!M7</f>
        <v>81210060.606704012</v>
      </c>
      <c r="C7" s="3">
        <f>MAX(0,-B7)</f>
        <v>0</v>
      </c>
      <c r="D7" s="21">
        <f>I51</f>
        <v>0.8729370652327092</v>
      </c>
      <c r="E7" s="3">
        <f>C7*D7</f>
        <v>0</v>
      </c>
      <c r="G7">
        <v>4</v>
      </c>
      <c r="H7" s="4">
        <f>'CIR Scenarios'!B7</f>
        <v>3.2157702703643119E-2</v>
      </c>
      <c r="I7" s="21">
        <f t="shared" ref="I7:I63" si="0">I6/(1+H7/12)</f>
        <v>0.98861285467739446</v>
      </c>
    </row>
    <row r="8" spans="1:9" x14ac:dyDescent="0.2">
      <c r="A8" s="5">
        <v>5</v>
      </c>
      <c r="B8" s="3">
        <f>'Cash Flows - Scenario 1'!M8</f>
        <v>1210286.9905382246</v>
      </c>
      <c r="C8" s="3">
        <f>MAX(0,-B8)</f>
        <v>0</v>
      </c>
      <c r="D8" s="21">
        <f>I63</f>
        <v>0.84391226091696991</v>
      </c>
      <c r="E8" s="3">
        <f>C8*D8</f>
        <v>0</v>
      </c>
      <c r="G8">
        <v>5</v>
      </c>
      <c r="H8" s="4">
        <f>'CIR Scenarios'!B8</f>
        <v>2.6269905877654681E-2</v>
      </c>
      <c r="I8" s="21">
        <f t="shared" si="0"/>
        <v>0.98645335161908354</v>
      </c>
    </row>
    <row r="9" spans="1:9" x14ac:dyDescent="0.2">
      <c r="A9" s="20" t="s">
        <v>90</v>
      </c>
      <c r="B9" s="19"/>
      <c r="C9" s="19"/>
      <c r="D9" s="19"/>
      <c r="E9" s="22">
        <f>MAX(E4:E8)</f>
        <v>0</v>
      </c>
      <c r="G9">
        <v>6</v>
      </c>
      <c r="H9" s="4">
        <f>'CIR Scenarios'!B9</f>
        <v>3.256260256677003E-2</v>
      </c>
      <c r="I9" s="21">
        <f t="shared" si="0"/>
        <v>0.98378380486496331</v>
      </c>
    </row>
    <row r="10" spans="1:9" x14ac:dyDescent="0.2">
      <c r="G10">
        <v>7</v>
      </c>
      <c r="H10" s="4">
        <f>'CIR Scenarios'!B10</f>
        <v>3.5455093315299405E-2</v>
      </c>
      <c r="I10" s="21">
        <f t="shared" si="0"/>
        <v>0.9808856887295011</v>
      </c>
    </row>
    <row r="11" spans="1:9" x14ac:dyDescent="0.2">
      <c r="G11">
        <v>8</v>
      </c>
      <c r="H11" s="4">
        <f>'CIR Scenarios'!B11</f>
        <v>3.615392139331116E-2</v>
      </c>
      <c r="I11" s="21">
        <f t="shared" si="0"/>
        <v>0.97793932693338625</v>
      </c>
    </row>
    <row r="12" spans="1:9" x14ac:dyDescent="0.2">
      <c r="G12">
        <v>9</v>
      </c>
      <c r="H12" s="4">
        <f>'CIR Scenarios'!B12</f>
        <v>3.5422735090922454E-2</v>
      </c>
      <c r="I12" s="21">
        <f t="shared" si="0"/>
        <v>0.97506104949557304</v>
      </c>
    </row>
    <row r="13" spans="1:9" x14ac:dyDescent="0.2">
      <c r="G13">
        <v>10</v>
      </c>
      <c r="H13" s="4">
        <f>'CIR Scenarios'!B13</f>
        <v>3.418995779085688E-2</v>
      </c>
      <c r="I13" s="21">
        <f t="shared" si="0"/>
        <v>0.97229083428020002</v>
      </c>
    </row>
    <row r="14" spans="1:9" x14ac:dyDescent="0.2">
      <c r="G14">
        <v>11</v>
      </c>
      <c r="H14" s="4">
        <f>'CIR Scenarios'!B14</f>
        <v>3.2146135121625265E-2</v>
      </c>
      <c r="I14" s="21">
        <f t="shared" si="0"/>
        <v>0.96969317695578849</v>
      </c>
    </row>
    <row r="15" spans="1:9" x14ac:dyDescent="0.2">
      <c r="G15">
        <v>12</v>
      </c>
      <c r="H15" s="4">
        <f>'CIR Scenarios'!B15</f>
        <v>3.9260774342249428E-2</v>
      </c>
      <c r="I15" s="21">
        <f t="shared" si="0"/>
        <v>0.96653094750372637</v>
      </c>
    </row>
    <row r="16" spans="1:9" x14ac:dyDescent="0.2">
      <c r="G16">
        <v>13</v>
      </c>
      <c r="H16" s="4">
        <f>'CIR Scenarios'!B16</f>
        <v>3.8577929858056074E-2</v>
      </c>
      <c r="I16" s="21">
        <f t="shared" si="0"/>
        <v>0.96343367444409356</v>
      </c>
    </row>
    <row r="17" spans="7:9" x14ac:dyDescent="0.2">
      <c r="G17">
        <v>14</v>
      </c>
      <c r="H17" s="4">
        <f>'CIR Scenarios'!B17</f>
        <v>3.7865215282652485E-2</v>
      </c>
      <c r="I17" s="21">
        <f t="shared" si="0"/>
        <v>0.96040318499758703</v>
      </c>
    </row>
    <row r="18" spans="7:9" x14ac:dyDescent="0.2">
      <c r="G18">
        <v>15</v>
      </c>
      <c r="H18" s="4">
        <f>'CIR Scenarios'!B18</f>
        <v>3.7874638097358512E-2</v>
      </c>
      <c r="I18" s="21">
        <f t="shared" si="0"/>
        <v>0.95738147857906242</v>
      </c>
    </row>
    <row r="19" spans="7:9" x14ac:dyDescent="0.2">
      <c r="G19">
        <v>16</v>
      </c>
      <c r="H19" s="4">
        <f>'CIR Scenarios'!B19</f>
        <v>3.4740070196410289E-2</v>
      </c>
      <c r="I19" s="21">
        <f t="shared" si="0"/>
        <v>0.95461785430661594</v>
      </c>
    </row>
    <row r="20" spans="7:9" x14ac:dyDescent="0.2">
      <c r="G20">
        <v>17</v>
      </c>
      <c r="H20" s="4">
        <f>'CIR Scenarios'!B20</f>
        <v>3.5462381031597788E-2</v>
      </c>
      <c r="I20" s="21">
        <f t="shared" si="0"/>
        <v>0.95180508143447917</v>
      </c>
    </row>
    <row r="21" spans="7:9" x14ac:dyDescent="0.2">
      <c r="G21">
        <v>18</v>
      </c>
      <c r="H21" s="4">
        <f>'CIR Scenarios'!B21</f>
        <v>3.550831190030538E-2</v>
      </c>
      <c r="I21" s="21">
        <f t="shared" si="0"/>
        <v>0.9489969747202448</v>
      </c>
    </row>
    <row r="22" spans="7:9" x14ac:dyDescent="0.2">
      <c r="G22">
        <v>19</v>
      </c>
      <c r="H22" s="4">
        <f>'CIR Scenarios'!B22</f>
        <v>3.4760265062940207E-2</v>
      </c>
      <c r="I22" s="21">
        <f t="shared" si="0"/>
        <v>0.94625596570480408</v>
      </c>
    </row>
    <row r="23" spans="7:9" x14ac:dyDescent="0.2">
      <c r="G23">
        <v>20</v>
      </c>
      <c r="H23" s="4">
        <f>'CIR Scenarios'!B23</f>
        <v>2.9643890559975794E-2</v>
      </c>
      <c r="I23" s="21">
        <f t="shared" si="0"/>
        <v>0.94392416697956594</v>
      </c>
    </row>
    <row r="24" spans="7:9" x14ac:dyDescent="0.2">
      <c r="G24">
        <v>21</v>
      </c>
      <c r="H24" s="4">
        <f>'CIR Scenarios'!B24</f>
        <v>2.9835243551974137E-2</v>
      </c>
      <c r="I24" s="21">
        <f t="shared" si="0"/>
        <v>0.94158313679533923</v>
      </c>
    </row>
    <row r="25" spans="7:9" x14ac:dyDescent="0.2">
      <c r="G25">
        <v>22</v>
      </c>
      <c r="H25" s="4">
        <f>'CIR Scenarios'!B25</f>
        <v>2.9744279722308007E-2</v>
      </c>
      <c r="I25" s="21">
        <f t="shared" si="0"/>
        <v>0.93925501480442897</v>
      </c>
    </row>
    <row r="26" spans="7:9" x14ac:dyDescent="0.2">
      <c r="G26">
        <v>23</v>
      </c>
      <c r="H26" s="4">
        <f>'CIR Scenarios'!B26</f>
        <v>2.8250741450775503E-2</v>
      </c>
      <c r="I26" s="21">
        <f t="shared" si="0"/>
        <v>0.93704898741524734</v>
      </c>
    </row>
    <row r="27" spans="7:9" x14ac:dyDescent="0.2">
      <c r="G27">
        <v>24</v>
      </c>
      <c r="H27" s="4">
        <f>'CIR Scenarios'!B27</f>
        <v>2.6814281943565985E-2</v>
      </c>
      <c r="I27" s="21">
        <f t="shared" si="0"/>
        <v>0.93495979777994975</v>
      </c>
    </row>
    <row r="28" spans="7:9" x14ac:dyDescent="0.2">
      <c r="G28">
        <v>25</v>
      </c>
      <c r="H28" s="4">
        <f>'CIR Scenarios'!B28</f>
        <v>2.8818467043112507E-2</v>
      </c>
      <c r="I28" s="21">
        <f t="shared" si="0"/>
        <v>0.93271983479499165</v>
      </c>
    </row>
    <row r="29" spans="7:9" x14ac:dyDescent="0.2">
      <c r="G29">
        <v>26</v>
      </c>
      <c r="H29" s="4">
        <f>'CIR Scenarios'!B29</f>
        <v>2.9086930220460175E-2</v>
      </c>
      <c r="I29" s="21">
        <f t="shared" si="0"/>
        <v>0.93046447186451331</v>
      </c>
    </row>
    <row r="30" spans="7:9" x14ac:dyDescent="0.2">
      <c r="G30">
        <v>27</v>
      </c>
      <c r="H30" s="4">
        <f>'CIR Scenarios'!B30</f>
        <v>3.118749144868075E-2</v>
      </c>
      <c r="I30" s="21">
        <f t="shared" si="0"/>
        <v>0.92805250274008544</v>
      </c>
    </row>
    <row r="31" spans="7:9" x14ac:dyDescent="0.2">
      <c r="G31">
        <v>28</v>
      </c>
      <c r="H31" s="4">
        <f>'CIR Scenarios'!B31</f>
        <v>3.1390262597544918E-2</v>
      </c>
      <c r="I31" s="21">
        <f t="shared" si="0"/>
        <v>0.92563118557477964</v>
      </c>
    </row>
    <row r="32" spans="7:9" x14ac:dyDescent="0.2">
      <c r="G32">
        <v>29</v>
      </c>
      <c r="H32" s="4">
        <f>'CIR Scenarios'!B32</f>
        <v>3.4260350168471794E-2</v>
      </c>
      <c r="I32" s="21">
        <f t="shared" si="0"/>
        <v>0.92299600504669632</v>
      </c>
    </row>
    <row r="33" spans="7:9" x14ac:dyDescent="0.2">
      <c r="G33">
        <v>30</v>
      </c>
      <c r="H33" s="4">
        <f>'CIR Scenarios'!B33</f>
        <v>2.8942228115176886E-2</v>
      </c>
      <c r="I33" s="21">
        <f t="shared" si="0"/>
        <v>0.92077523114813842</v>
      </c>
    </row>
    <row r="34" spans="7:9" x14ac:dyDescent="0.2">
      <c r="G34">
        <v>31</v>
      </c>
      <c r="H34" s="4">
        <f>'CIR Scenarios'!B34</f>
        <v>3.3960965052349606E-2</v>
      </c>
      <c r="I34" s="21">
        <f t="shared" si="0"/>
        <v>0.91817671719775229</v>
      </c>
    </row>
    <row r="35" spans="7:9" x14ac:dyDescent="0.2">
      <c r="G35">
        <v>32</v>
      </c>
      <c r="H35" s="4">
        <f>'CIR Scenarios'!B35</f>
        <v>3.4945589673863027E-2</v>
      </c>
      <c r="I35" s="21">
        <f t="shared" si="0"/>
        <v>0.91551062896592705</v>
      </c>
    </row>
    <row r="36" spans="7:9" x14ac:dyDescent="0.2">
      <c r="G36">
        <v>33</v>
      </c>
      <c r="H36" s="4">
        <f>'CIR Scenarios'!B36</f>
        <v>3.5054441291116741E-2</v>
      </c>
      <c r="I36" s="21">
        <f t="shared" si="0"/>
        <v>0.91284402585656566</v>
      </c>
    </row>
    <row r="37" spans="7:9" x14ac:dyDescent="0.2">
      <c r="G37">
        <v>34</v>
      </c>
      <c r="H37" s="4">
        <f>'CIR Scenarios'!B37</f>
        <v>3.3359564488474838E-2</v>
      </c>
      <c r="I37" s="21">
        <f t="shared" si="0"/>
        <v>0.91031338767648939</v>
      </c>
    </row>
    <row r="38" spans="7:9" x14ac:dyDescent="0.2">
      <c r="G38">
        <v>35</v>
      </c>
      <c r="H38" s="4">
        <f>'CIR Scenarios'!B38</f>
        <v>3.6997817954273787E-2</v>
      </c>
      <c r="I38" s="21">
        <f t="shared" si="0"/>
        <v>0.9075153802739826</v>
      </c>
    </row>
    <row r="39" spans="7:9" x14ac:dyDescent="0.2">
      <c r="G39">
        <v>36</v>
      </c>
      <c r="H39" s="4">
        <f>'CIR Scenarios'!B39</f>
        <v>3.4798013557281404E-2</v>
      </c>
      <c r="I39" s="21">
        <f t="shared" si="0"/>
        <v>0.90489134516590342</v>
      </c>
    </row>
    <row r="40" spans="7:9" x14ac:dyDescent="0.2">
      <c r="G40">
        <v>37</v>
      </c>
      <c r="H40" s="4">
        <f>'CIR Scenarios'!B40</f>
        <v>3.7330557733343164E-2</v>
      </c>
      <c r="I40" s="21">
        <f t="shared" si="0"/>
        <v>0.9020850669432442</v>
      </c>
    </row>
    <row r="41" spans="7:9" x14ac:dyDescent="0.2">
      <c r="G41">
        <v>38</v>
      </c>
      <c r="H41" s="4">
        <f>'CIR Scenarios'!B41</f>
        <v>3.7749459894273946E-2</v>
      </c>
      <c r="I41" s="21">
        <f t="shared" si="0"/>
        <v>0.89925619729703243</v>
      </c>
    </row>
    <row r="42" spans="7:9" x14ac:dyDescent="0.2">
      <c r="G42">
        <v>39</v>
      </c>
      <c r="H42" s="4">
        <f>'CIR Scenarios'!B42</f>
        <v>3.356929751088375E-2</v>
      </c>
      <c r="I42" s="21">
        <f t="shared" si="0"/>
        <v>0.89674759838683105</v>
      </c>
    </row>
    <row r="43" spans="7:9" x14ac:dyDescent="0.2">
      <c r="G43">
        <v>40</v>
      </c>
      <c r="H43" s="4">
        <f>'CIR Scenarios'!B43</f>
        <v>3.2557108679251552E-2</v>
      </c>
      <c r="I43" s="21">
        <f t="shared" si="0"/>
        <v>0.89432122228449129</v>
      </c>
    </row>
    <row r="44" spans="7:9" x14ac:dyDescent="0.2">
      <c r="G44">
        <v>41</v>
      </c>
      <c r="H44" s="4">
        <f>'CIR Scenarios'!B44</f>
        <v>3.2879206577254454E-2</v>
      </c>
      <c r="I44" s="21">
        <f t="shared" si="0"/>
        <v>0.89187753680331061</v>
      </c>
    </row>
    <row r="45" spans="7:9" x14ac:dyDescent="0.2">
      <c r="G45">
        <v>42</v>
      </c>
      <c r="H45" s="4">
        <f>'CIR Scenarios'!B45</f>
        <v>3.630808927189632E-2</v>
      </c>
      <c r="I45" s="21">
        <f t="shared" si="0"/>
        <v>0.88918714627943263</v>
      </c>
    </row>
    <row r="46" spans="7:9" x14ac:dyDescent="0.2">
      <c r="G46">
        <v>43</v>
      </c>
      <c r="H46" s="4">
        <f>'CIR Scenarios'!B46</f>
        <v>3.8868355521837254E-2</v>
      </c>
      <c r="I46" s="21">
        <f t="shared" si="0"/>
        <v>0.88631634139093285</v>
      </c>
    </row>
    <row r="47" spans="7:9" x14ac:dyDescent="0.2">
      <c r="G47">
        <v>44</v>
      </c>
      <c r="H47" s="4">
        <f>'CIR Scenarios'!B47</f>
        <v>3.4351580719838529E-2</v>
      </c>
      <c r="I47" s="21">
        <f t="shared" si="0"/>
        <v>0.88378638644152119</v>
      </c>
    </row>
    <row r="48" spans="7:9" x14ac:dyDescent="0.2">
      <c r="G48">
        <v>45</v>
      </c>
      <c r="H48" s="4">
        <f>'CIR Scenarios'!B48</f>
        <v>3.3196887783389355E-2</v>
      </c>
      <c r="I48" s="21">
        <f t="shared" si="0"/>
        <v>0.88134821828315157</v>
      </c>
    </row>
    <row r="49" spans="7:9" x14ac:dyDescent="0.2">
      <c r="G49">
        <v>46</v>
      </c>
      <c r="H49" s="4">
        <f>'CIR Scenarios'!B49</f>
        <v>3.345312109723881E-2</v>
      </c>
      <c r="I49" s="21">
        <f t="shared" si="0"/>
        <v>0.87889806134329773</v>
      </c>
    </row>
    <row r="50" spans="7:9" x14ac:dyDescent="0.2">
      <c r="G50">
        <v>47</v>
      </c>
      <c r="H50" s="4">
        <f>'CIR Scenarios'!B50</f>
        <v>3.7390639167156049E-2</v>
      </c>
      <c r="I50" s="21">
        <f t="shared" si="0"/>
        <v>0.87616802114924841</v>
      </c>
    </row>
    <row r="51" spans="7:9" x14ac:dyDescent="0.2">
      <c r="G51">
        <v>48</v>
      </c>
      <c r="H51" s="4">
        <f>'CIR Scenarios'!B51</f>
        <v>4.4414967060809239E-2</v>
      </c>
      <c r="I51" s="21">
        <f t="shared" si="0"/>
        <v>0.8729370652327092</v>
      </c>
    </row>
    <row r="52" spans="7:9" x14ac:dyDescent="0.2">
      <c r="G52">
        <v>49</v>
      </c>
      <c r="H52" s="4">
        <f>'CIR Scenarios'!B52</f>
        <v>4.7744115764066772E-2</v>
      </c>
      <c r="I52" s="21">
        <f t="shared" si="0"/>
        <v>0.86947769492265414</v>
      </c>
    </row>
    <row r="53" spans="7:9" x14ac:dyDescent="0.2">
      <c r="G53">
        <v>50</v>
      </c>
      <c r="H53" s="4">
        <f>'CIR Scenarios'!B53</f>
        <v>4.687557803681186E-2</v>
      </c>
      <c r="I53" s="21">
        <f t="shared" si="0"/>
        <v>0.86609447167314024</v>
      </c>
    </row>
    <row r="54" spans="7:9" x14ac:dyDescent="0.2">
      <c r="G54">
        <v>51</v>
      </c>
      <c r="H54" s="4">
        <f>'CIR Scenarios'!B54</f>
        <v>4.4890138375479109E-2</v>
      </c>
      <c r="I54" s="21">
        <f t="shared" si="0"/>
        <v>0.86286662150323512</v>
      </c>
    </row>
    <row r="55" spans="7:9" x14ac:dyDescent="0.2">
      <c r="G55">
        <v>52</v>
      </c>
      <c r="H55" s="4">
        <f>'CIR Scenarios'!B55</f>
        <v>4.1017713400330481E-2</v>
      </c>
      <c r="I55" s="21">
        <f t="shared" si="0"/>
        <v>0.85992726732022928</v>
      </c>
    </row>
    <row r="56" spans="7:9" x14ac:dyDescent="0.2">
      <c r="G56">
        <v>53</v>
      </c>
      <c r="H56" s="4">
        <f>'CIR Scenarios'!B56</f>
        <v>3.337118719630331E-2</v>
      </c>
      <c r="I56" s="21">
        <f t="shared" si="0"/>
        <v>0.85754249971300367</v>
      </c>
    </row>
    <row r="57" spans="7:9" x14ac:dyDescent="0.2">
      <c r="G57">
        <v>54</v>
      </c>
      <c r="H57" s="4">
        <f>'CIR Scenarios'!B57</f>
        <v>2.9869656361255732E-2</v>
      </c>
      <c r="I57" s="21">
        <f t="shared" si="0"/>
        <v>0.85541325804095825</v>
      </c>
    </row>
    <row r="58" spans="7:9" x14ac:dyDescent="0.2">
      <c r="G58">
        <v>55</v>
      </c>
      <c r="H58" s="4">
        <f>'CIR Scenarios'!B58</f>
        <v>2.7977667740431096E-2</v>
      </c>
      <c r="I58" s="21">
        <f t="shared" si="0"/>
        <v>0.85342352472291128</v>
      </c>
    </row>
    <row r="59" spans="7:9" x14ac:dyDescent="0.2">
      <c r="G59">
        <v>56</v>
      </c>
      <c r="H59" s="4">
        <f>'CIR Scenarios'!B59</f>
        <v>2.6454183188763251E-2</v>
      </c>
      <c r="I59" s="21">
        <f t="shared" si="0"/>
        <v>0.85154627795368665</v>
      </c>
    </row>
    <row r="60" spans="7:9" x14ac:dyDescent="0.2">
      <c r="G60">
        <v>57</v>
      </c>
      <c r="H60" s="4">
        <f>'CIR Scenarios'!B60</f>
        <v>2.2988957956463094E-2</v>
      </c>
      <c r="I60" s="21">
        <f t="shared" si="0"/>
        <v>0.84991805042637902</v>
      </c>
    </row>
    <row r="61" spans="7:9" x14ac:dyDescent="0.2">
      <c r="G61">
        <v>58</v>
      </c>
      <c r="H61" s="4">
        <f>'CIR Scenarios'!B61</f>
        <v>2.7764773173612641E-2</v>
      </c>
      <c r="I61" s="21">
        <f t="shared" si="0"/>
        <v>0.84795610800970667</v>
      </c>
    </row>
    <row r="62" spans="7:9" x14ac:dyDescent="0.2">
      <c r="G62">
        <v>59</v>
      </c>
      <c r="H62" s="4">
        <f>'CIR Scenarios'!B62</f>
        <v>3.0796367350648259E-2</v>
      </c>
      <c r="I62" s="21">
        <f t="shared" si="0"/>
        <v>0.84578551455918827</v>
      </c>
    </row>
    <row r="63" spans="7:9" x14ac:dyDescent="0.2">
      <c r="G63">
        <v>60</v>
      </c>
      <c r="H63" s="4">
        <f>'CIR Scenarios'!B63</f>
        <v>2.6636707093453844E-2</v>
      </c>
      <c r="I63" s="21">
        <f t="shared" si="0"/>
        <v>0.84391226091696991</v>
      </c>
    </row>
  </sheetData>
  <mergeCells count="2">
    <mergeCell ref="A1:H1"/>
    <mergeCell ref="A2:H2"/>
  </mergeCells>
  <conditionalFormatting sqref="E4:E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F191-5F02-274D-9414-F4F596123B4F}">
  <dimension ref="A1:X410"/>
  <sheetViews>
    <sheetView showGridLines="0" workbookViewId="0">
      <pane ySplit="3" topLeftCell="A4" activePane="bottomLeft" state="frozen"/>
      <selection pane="bottomLeft" activeCell="U342" sqref="U342"/>
    </sheetView>
  </sheetViews>
  <sheetFormatPr baseColWidth="10" defaultRowHeight="16" x14ac:dyDescent="0.2"/>
  <cols>
    <col min="1" max="2" width="15" customWidth="1"/>
    <col min="3" max="3" width="18.33203125" customWidth="1"/>
    <col min="4" max="4" width="13.33203125" customWidth="1"/>
    <col min="5" max="5" width="20" customWidth="1"/>
    <col min="6" max="6" width="15" customWidth="1"/>
  </cols>
  <sheetData>
    <row r="1" spans="1:6" ht="19" x14ac:dyDescent="0.25">
      <c r="A1" s="2" t="s">
        <v>91</v>
      </c>
      <c r="B1" s="2"/>
      <c r="C1" s="2"/>
      <c r="D1" s="2"/>
      <c r="E1" s="2"/>
      <c r="F1" s="2"/>
    </row>
    <row r="2" spans="1:6" x14ac:dyDescent="0.2">
      <c r="A2" s="8" t="s">
        <v>97</v>
      </c>
      <c r="B2" s="8"/>
      <c r="C2" s="8"/>
      <c r="D2" s="8"/>
      <c r="E2" s="8"/>
      <c r="F2" s="8"/>
    </row>
    <row r="3" spans="1:6" x14ac:dyDescent="0.2">
      <c r="A3" s="7" t="s">
        <v>92</v>
      </c>
      <c r="B3" s="7" t="s">
        <v>173</v>
      </c>
      <c r="C3" s="7" t="s">
        <v>93</v>
      </c>
      <c r="D3" s="7" t="s">
        <v>94</v>
      </c>
      <c r="E3" s="7" t="s">
        <v>95</v>
      </c>
      <c r="F3" s="7" t="s">
        <v>96</v>
      </c>
    </row>
    <row r="4" spans="1:6" x14ac:dyDescent="0.2">
      <c r="A4" s="23">
        <v>1</v>
      </c>
      <c r="B4" s="24">
        <f>C4*5</f>
        <v>0</v>
      </c>
      <c r="C4" s="24">
        <f>X67</f>
        <v>0</v>
      </c>
      <c r="D4" s="23">
        <f>W67</f>
        <v>1</v>
      </c>
      <c r="E4" s="24">
        <f>U67</f>
        <v>1210286.9905382246</v>
      </c>
      <c r="F4" s="25">
        <f>AVERAGE('CIR Scenarios'!B4:'CIR Scenarios'!B63)</f>
        <v>3.3990397748853339E-2</v>
      </c>
    </row>
    <row r="5" spans="1:6" x14ac:dyDescent="0.2">
      <c r="A5" s="5">
        <v>2</v>
      </c>
      <c r="B5" s="24">
        <f>C5*5</f>
        <v>7334853.7951695779</v>
      </c>
      <c r="C5" s="3">
        <f>X74</f>
        <v>1466970.7590339156</v>
      </c>
      <c r="D5" s="5">
        <f>W74</f>
        <v>5</v>
      </c>
      <c r="E5" s="3">
        <f>U74</f>
        <v>-1643452.1625109911</v>
      </c>
      <c r="F5" s="4">
        <f>AVERAGE('CIR Scenarios'!C4:'CIR Scenarios'!C63)</f>
        <v>2.2742839981417337E-2</v>
      </c>
    </row>
    <row r="6" spans="1:6" x14ac:dyDescent="0.2">
      <c r="A6" s="23">
        <v>3</v>
      </c>
      <c r="B6" s="24">
        <f>C6*5</f>
        <v>0</v>
      </c>
      <c r="C6" s="24">
        <f>X81</f>
        <v>0</v>
      </c>
      <c r="D6" s="23">
        <f>W81</f>
        <v>1</v>
      </c>
      <c r="E6" s="24">
        <f>U81</f>
        <v>351673.91975402832</v>
      </c>
      <c r="F6" s="25">
        <f>AVERAGE('CIR Scenarios'!D4:'CIR Scenarios'!D63)</f>
        <v>3.3441653303908074E-2</v>
      </c>
    </row>
    <row r="7" spans="1:6" x14ac:dyDescent="0.2">
      <c r="A7" s="5">
        <v>4</v>
      </c>
      <c r="B7" s="24">
        <f>C7*5</f>
        <v>0</v>
      </c>
      <c r="C7" s="3">
        <f>X88</f>
        <v>0</v>
      </c>
      <c r="D7" s="5">
        <f>W88</f>
        <v>1</v>
      </c>
      <c r="E7" s="3">
        <f>U88</f>
        <v>6011191.7286475599</v>
      </c>
      <c r="F7" s="4">
        <f>AVERAGE('CIR Scenarios'!E4:'CIR Scenarios'!E63)</f>
        <v>5.2284554617123877E-2</v>
      </c>
    </row>
    <row r="8" spans="1:6" x14ac:dyDescent="0.2">
      <c r="A8" s="23">
        <v>5</v>
      </c>
      <c r="B8" s="24">
        <f>C8*5</f>
        <v>0</v>
      </c>
      <c r="C8" s="24">
        <f>X95</f>
        <v>0</v>
      </c>
      <c r="D8" s="23">
        <f>W95</f>
        <v>1</v>
      </c>
      <c r="E8" s="24">
        <f>U95</f>
        <v>1221271.9598872513</v>
      </c>
      <c r="F8" s="25">
        <f>AVERAGE('CIR Scenarios'!F4:'CIR Scenarios'!F63)</f>
        <v>3.6806611472172603E-2</v>
      </c>
    </row>
    <row r="9" spans="1:6" x14ac:dyDescent="0.2">
      <c r="A9" s="5">
        <v>6</v>
      </c>
      <c r="B9" s="24">
        <f>C9*5</f>
        <v>576369.37142119382</v>
      </c>
      <c r="C9" s="3">
        <f>X102</f>
        <v>115273.87428423876</v>
      </c>
      <c r="D9" s="5">
        <f>W102</f>
        <v>5</v>
      </c>
      <c r="E9" s="3">
        <f>U102</f>
        <v>-134247.80160488188</v>
      </c>
      <c r="F9" s="4">
        <f>AVERAGE('CIR Scenarios'!G4:'CIR Scenarios'!G63)</f>
        <v>3.0515592674988656E-2</v>
      </c>
    </row>
    <row r="10" spans="1:6" x14ac:dyDescent="0.2">
      <c r="A10" s="23">
        <v>7</v>
      </c>
      <c r="B10" s="24">
        <f>C10*5</f>
        <v>4919264.0417576982</v>
      </c>
      <c r="C10" s="24">
        <f>X109</f>
        <v>983852.80835153966</v>
      </c>
      <c r="D10" s="23">
        <f>W109</f>
        <v>5</v>
      </c>
      <c r="E10" s="24">
        <f>U109</f>
        <v>-1131005.1604274064</v>
      </c>
      <c r="F10" s="25">
        <f>AVERAGE('CIR Scenarios'!H4:'CIR Scenarios'!H63)</f>
        <v>2.7912798028744842E-2</v>
      </c>
    </row>
    <row r="11" spans="1:6" x14ac:dyDescent="0.2">
      <c r="A11" s="5">
        <v>8</v>
      </c>
      <c r="B11" s="24">
        <f>C11*5</f>
        <v>0</v>
      </c>
      <c r="C11" s="3">
        <f>X116</f>
        <v>0</v>
      </c>
      <c r="D11" s="5">
        <f>W116</f>
        <v>1</v>
      </c>
      <c r="E11" s="3">
        <f>U116</f>
        <v>1386091.641808033</v>
      </c>
      <c r="F11" s="4">
        <f>AVERAGE('CIR Scenarios'!I4:'CIR Scenarios'!I63)</f>
        <v>3.8688076257878151E-2</v>
      </c>
    </row>
    <row r="12" spans="1:6" x14ac:dyDescent="0.2">
      <c r="A12" s="23">
        <v>9</v>
      </c>
      <c r="B12" s="24">
        <f>C12*5</f>
        <v>0</v>
      </c>
      <c r="C12" s="24">
        <f>X123</f>
        <v>0</v>
      </c>
      <c r="D12" s="23">
        <f>W123</f>
        <v>1</v>
      </c>
      <c r="E12" s="24">
        <f>U123</f>
        <v>3437535.6745494157</v>
      </c>
      <c r="F12" s="25">
        <f>AVERAGE('CIR Scenarios'!J4:'CIR Scenarios'!J63)</f>
        <v>4.0487448733436744E-2</v>
      </c>
    </row>
    <row r="13" spans="1:6" x14ac:dyDescent="0.2">
      <c r="A13" s="5">
        <v>10</v>
      </c>
      <c r="B13" s="24">
        <f>C13*5</f>
        <v>0</v>
      </c>
      <c r="C13" s="3">
        <f>X130</f>
        <v>0</v>
      </c>
      <c r="D13" s="5">
        <f>W130</f>
        <v>1</v>
      </c>
      <c r="E13" s="3">
        <f>U130</f>
        <v>6376784.1784802228</v>
      </c>
      <c r="F13" s="4">
        <f>AVERAGE('CIR Scenarios'!K4:'CIR Scenarios'!K63)</f>
        <v>5.4492572108998112E-2</v>
      </c>
    </row>
    <row r="14" spans="1:6" x14ac:dyDescent="0.2">
      <c r="A14" s="23">
        <v>11</v>
      </c>
      <c r="B14" s="24">
        <f>C14*5</f>
        <v>7933735.5009655319</v>
      </c>
      <c r="C14" s="24">
        <f>X137</f>
        <v>1586747.1001931063</v>
      </c>
      <c r="D14" s="23">
        <f>W137</f>
        <v>5</v>
      </c>
      <c r="E14" s="24">
        <f>U137</f>
        <v>-1800302.8330667615</v>
      </c>
      <c r="F14" s="25">
        <f>AVERAGE('CIR Scenarios'!L4:'CIR Scenarios'!L63)</f>
        <v>2.528396982706942E-2</v>
      </c>
    </row>
    <row r="15" spans="1:6" x14ac:dyDescent="0.2">
      <c r="A15" s="5">
        <v>12</v>
      </c>
      <c r="B15" s="24">
        <f>C15*5</f>
        <v>0</v>
      </c>
      <c r="C15" s="3">
        <f>X144</f>
        <v>0</v>
      </c>
      <c r="D15" s="5">
        <f>W144</f>
        <v>1</v>
      </c>
      <c r="E15" s="3">
        <f>U144</f>
        <v>721056.24487277865</v>
      </c>
      <c r="F15" s="4">
        <f>AVERAGE('CIR Scenarios'!M4:'CIR Scenarios'!M63)</f>
        <v>3.6105841728162225E-2</v>
      </c>
    </row>
    <row r="16" spans="1:6" x14ac:dyDescent="0.2">
      <c r="A16" s="23">
        <v>13</v>
      </c>
      <c r="B16" s="24">
        <f>C16*5</f>
        <v>0</v>
      </c>
      <c r="C16" s="24">
        <f>X151</f>
        <v>0</v>
      </c>
      <c r="D16" s="23">
        <f>W151</f>
        <v>1</v>
      </c>
      <c r="E16" s="24">
        <f>U151</f>
        <v>3388546.6976099312</v>
      </c>
      <c r="F16" s="25">
        <f>AVERAGE('CIR Scenarios'!N4:'CIR Scenarios'!N63)</f>
        <v>4.3197494804928169E-2</v>
      </c>
    </row>
    <row r="17" spans="1:6" x14ac:dyDescent="0.2">
      <c r="A17" s="5">
        <v>14</v>
      </c>
      <c r="B17" s="24">
        <f>C17*5</f>
        <v>0</v>
      </c>
      <c r="C17" s="3">
        <f>X158</f>
        <v>0</v>
      </c>
      <c r="D17" s="5">
        <f>W158</f>
        <v>1</v>
      </c>
      <c r="E17" s="3">
        <f>U158</f>
        <v>4021240.5628203452</v>
      </c>
      <c r="F17" s="4">
        <f>AVERAGE('CIR Scenarios'!O4:'CIR Scenarios'!O63)</f>
        <v>4.3238496939002356E-2</v>
      </c>
    </row>
    <row r="18" spans="1:6" x14ac:dyDescent="0.2">
      <c r="A18" s="23">
        <v>15</v>
      </c>
      <c r="B18" s="24">
        <f>C18*5</f>
        <v>0</v>
      </c>
      <c r="C18" s="24">
        <f>X165</f>
        <v>0</v>
      </c>
      <c r="D18" s="23">
        <f>W165</f>
        <v>1</v>
      </c>
      <c r="E18" s="24">
        <f>U165</f>
        <v>9276735.6557614207</v>
      </c>
      <c r="F18" s="25">
        <f>AVERAGE('CIR Scenarios'!P4:'CIR Scenarios'!P63)</f>
        <v>6.4780999504888873E-2</v>
      </c>
    </row>
    <row r="19" spans="1:6" x14ac:dyDescent="0.2">
      <c r="A19" s="5">
        <v>16</v>
      </c>
      <c r="B19" s="24">
        <f>C19*5</f>
        <v>0</v>
      </c>
      <c r="C19" s="3">
        <f>X172</f>
        <v>0</v>
      </c>
      <c r="D19" s="5">
        <f>W172</f>
        <v>1</v>
      </c>
      <c r="E19" s="3">
        <f>U172</f>
        <v>757891.1657474786</v>
      </c>
      <c r="F19" s="4">
        <f>AVERAGE('CIR Scenarios'!Q4:'CIR Scenarios'!Q63)</f>
        <v>3.196587914977253E-2</v>
      </c>
    </row>
    <row r="20" spans="1:6" x14ac:dyDescent="0.2">
      <c r="A20" s="23">
        <v>17</v>
      </c>
      <c r="B20" s="24">
        <f>C20*5</f>
        <v>0</v>
      </c>
      <c r="C20" s="24">
        <f>X179</f>
        <v>0</v>
      </c>
      <c r="D20" s="23">
        <f>W179</f>
        <v>1</v>
      </c>
      <c r="E20" s="24">
        <f>U179</f>
        <v>4132998.0608199537</v>
      </c>
      <c r="F20" s="25">
        <f>AVERAGE('CIR Scenarios'!R4:'CIR Scenarios'!R63)</f>
        <v>4.2576677514053071E-2</v>
      </c>
    </row>
    <row r="21" spans="1:6" x14ac:dyDescent="0.2">
      <c r="A21" s="5">
        <v>18</v>
      </c>
      <c r="B21" s="24">
        <f>C21*5</f>
        <v>0</v>
      </c>
      <c r="C21" s="3">
        <f>X186</f>
        <v>0</v>
      </c>
      <c r="D21" s="5">
        <f>W186</f>
        <v>1</v>
      </c>
      <c r="E21" s="3">
        <f>U186</f>
        <v>144780.16436871886</v>
      </c>
      <c r="F21" s="4">
        <f>AVERAGE('CIR Scenarios'!S4:'CIR Scenarios'!S63)</f>
        <v>3.218769327099303E-2</v>
      </c>
    </row>
    <row r="22" spans="1:6" x14ac:dyDescent="0.2">
      <c r="A22" s="23">
        <v>19</v>
      </c>
      <c r="B22" s="24">
        <f>C22*5</f>
        <v>0</v>
      </c>
      <c r="C22" s="24">
        <f>X193</f>
        <v>0</v>
      </c>
      <c r="D22" s="23">
        <f>W193</f>
        <v>1</v>
      </c>
      <c r="E22" s="24">
        <f>U193</f>
        <v>1703108.084386006</v>
      </c>
      <c r="F22" s="25">
        <f>AVERAGE('CIR Scenarios'!T4:'CIR Scenarios'!T63)</f>
        <v>3.6326301621924809E-2</v>
      </c>
    </row>
    <row r="23" spans="1:6" x14ac:dyDescent="0.2">
      <c r="A23" s="5">
        <v>20</v>
      </c>
      <c r="B23" s="24">
        <f>C23*5</f>
        <v>0</v>
      </c>
      <c r="C23" s="3">
        <f>X200</f>
        <v>0</v>
      </c>
      <c r="D23" s="5">
        <f>W200</f>
        <v>1</v>
      </c>
      <c r="E23" s="3">
        <f>U200</f>
        <v>3406395.873057574</v>
      </c>
      <c r="F23" s="4">
        <f>AVERAGE('CIR Scenarios'!U4:'CIR Scenarios'!U63)</f>
        <v>4.2588132208368885E-2</v>
      </c>
    </row>
    <row r="24" spans="1:6" x14ac:dyDescent="0.2">
      <c r="A24" s="23">
        <v>21</v>
      </c>
      <c r="B24" s="24">
        <f>C24*5</f>
        <v>0</v>
      </c>
      <c r="C24" s="24">
        <f>X207</f>
        <v>0</v>
      </c>
      <c r="D24" s="23">
        <f>W207</f>
        <v>1</v>
      </c>
      <c r="E24" s="24">
        <f>U207</f>
        <v>527122.82437054813</v>
      </c>
      <c r="F24" s="25">
        <f>AVERAGE('CIR Scenarios'!V4:'CIR Scenarios'!V63)</f>
        <v>3.579299802750821E-2</v>
      </c>
    </row>
    <row r="25" spans="1:6" x14ac:dyDescent="0.2">
      <c r="A25" s="5">
        <v>22</v>
      </c>
      <c r="B25" s="24">
        <f>C25*5</f>
        <v>0</v>
      </c>
      <c r="C25" s="3">
        <f>X214</f>
        <v>0</v>
      </c>
      <c r="D25" s="5">
        <f>W214</f>
        <v>1</v>
      </c>
      <c r="E25" s="3">
        <f>U214</f>
        <v>2775948.8578874618</v>
      </c>
      <c r="F25" s="4">
        <f>AVERAGE('CIR Scenarios'!W4:'CIR Scenarios'!W63)</f>
        <v>4.1803634512631457E-2</v>
      </c>
    </row>
    <row r="26" spans="1:6" x14ac:dyDescent="0.2">
      <c r="A26" s="23">
        <v>23</v>
      </c>
      <c r="B26" s="24">
        <f>C26*5</f>
        <v>0</v>
      </c>
      <c r="C26" s="24">
        <f>X221</f>
        <v>0</v>
      </c>
      <c r="D26" s="23">
        <f>W221</f>
        <v>1</v>
      </c>
      <c r="E26" s="24">
        <f>U221</f>
        <v>2432966.9994021505</v>
      </c>
      <c r="F26" s="25">
        <f>AVERAGE('CIR Scenarios'!X4:'CIR Scenarios'!X63)</f>
        <v>4.1015121476761875E-2</v>
      </c>
    </row>
    <row r="27" spans="1:6" x14ac:dyDescent="0.2">
      <c r="A27" s="5">
        <v>24</v>
      </c>
      <c r="B27" s="24">
        <f>C27*5</f>
        <v>4425651.7605793532</v>
      </c>
      <c r="C27" s="3">
        <f>X228</f>
        <v>885130.35211587057</v>
      </c>
      <c r="D27" s="5">
        <f>W228</f>
        <v>5</v>
      </c>
      <c r="E27" s="3">
        <f>U228</f>
        <v>-1003518.9910435081</v>
      </c>
      <c r="F27" s="4">
        <f>AVERAGE('CIR Scenarios'!Y4:'CIR Scenarios'!Y63)</f>
        <v>2.5133720544933683E-2</v>
      </c>
    </row>
    <row r="28" spans="1:6" x14ac:dyDescent="0.2">
      <c r="A28" s="23">
        <v>25</v>
      </c>
      <c r="B28" s="24">
        <f>C28*5</f>
        <v>0</v>
      </c>
      <c r="C28" s="24">
        <f>X235</f>
        <v>0</v>
      </c>
      <c r="D28" s="23">
        <f>W235</f>
        <v>1</v>
      </c>
      <c r="E28" s="24">
        <f>U235</f>
        <v>1818959.7280475348</v>
      </c>
      <c r="F28" s="25">
        <f>AVERAGE('CIR Scenarios'!Z4:'CIR Scenarios'!Z63)</f>
        <v>4.002980880433922E-2</v>
      </c>
    </row>
    <row r="29" spans="1:6" x14ac:dyDescent="0.2">
      <c r="A29" s="5">
        <v>26</v>
      </c>
      <c r="B29" s="24">
        <f>C29*5</f>
        <v>0</v>
      </c>
      <c r="C29" s="3">
        <f>X242</f>
        <v>0</v>
      </c>
      <c r="D29" s="5">
        <f>W242</f>
        <v>1</v>
      </c>
      <c r="E29" s="3">
        <f>U242</f>
        <v>8169217.855256483</v>
      </c>
      <c r="F29" s="4">
        <f>AVERAGE('CIR Scenarios'!AA4:'CIR Scenarios'!AA63)</f>
        <v>5.7627062581352716E-2</v>
      </c>
    </row>
    <row r="30" spans="1:6" x14ac:dyDescent="0.2">
      <c r="A30" s="23">
        <v>27</v>
      </c>
      <c r="B30" s="24">
        <f>C30*5</f>
        <v>0</v>
      </c>
      <c r="C30" s="24">
        <f>X249</f>
        <v>0</v>
      </c>
      <c r="D30" s="23">
        <f>W249</f>
        <v>1</v>
      </c>
      <c r="E30" s="24">
        <f>U249</f>
        <v>4593306.9441687763</v>
      </c>
      <c r="F30" s="25">
        <f>AVERAGE('CIR Scenarios'!AB4:'CIR Scenarios'!AB63)</f>
        <v>4.6720931181695478E-2</v>
      </c>
    </row>
    <row r="31" spans="1:6" x14ac:dyDescent="0.2">
      <c r="A31" s="5">
        <v>28</v>
      </c>
      <c r="B31" s="24">
        <f>C31*5</f>
        <v>0</v>
      </c>
      <c r="C31" s="3">
        <f>X256</f>
        <v>0</v>
      </c>
      <c r="D31" s="5">
        <f>W256</f>
        <v>1</v>
      </c>
      <c r="E31" s="3">
        <f>U256</f>
        <v>7845322.2436610907</v>
      </c>
      <c r="F31" s="4">
        <f>AVERAGE('CIR Scenarios'!AC4:'CIR Scenarios'!AC63)</f>
        <v>5.462439814623786E-2</v>
      </c>
    </row>
    <row r="32" spans="1:6" x14ac:dyDescent="0.2">
      <c r="A32" s="23">
        <v>29</v>
      </c>
      <c r="B32" s="24">
        <f>C32*5</f>
        <v>0</v>
      </c>
      <c r="C32" s="24">
        <f>X263</f>
        <v>0</v>
      </c>
      <c r="D32" s="23">
        <f>W263</f>
        <v>1</v>
      </c>
      <c r="E32" s="24">
        <f>U263</f>
        <v>1029183.9505621791</v>
      </c>
      <c r="F32" s="25">
        <f>AVERAGE('CIR Scenarios'!AD4:'CIR Scenarios'!AD63)</f>
        <v>3.4513152055916457E-2</v>
      </c>
    </row>
    <row r="33" spans="1:6" x14ac:dyDescent="0.2">
      <c r="A33" s="5">
        <v>30</v>
      </c>
      <c r="B33" s="24">
        <f>C33*5</f>
        <v>0</v>
      </c>
      <c r="C33" s="3">
        <f>X270</f>
        <v>0</v>
      </c>
      <c r="D33" s="5">
        <f>W270</f>
        <v>1</v>
      </c>
      <c r="E33" s="3">
        <f>U270</f>
        <v>1165713.5208272338</v>
      </c>
      <c r="F33" s="4">
        <f>AVERAGE('CIR Scenarios'!AE4:'CIR Scenarios'!AE63)</f>
        <v>3.3666283422979157E-2</v>
      </c>
    </row>
    <row r="34" spans="1:6" x14ac:dyDescent="0.2">
      <c r="A34" s="23">
        <v>31</v>
      </c>
      <c r="B34" s="24">
        <f>C34*5</f>
        <v>4967839.0909134625</v>
      </c>
      <c r="C34" s="24">
        <f>X277</f>
        <v>993567.81818269251</v>
      </c>
      <c r="D34" s="23">
        <f>W277</f>
        <v>5</v>
      </c>
      <c r="E34" s="24">
        <f>U277</f>
        <v>-1130082.5909703225</v>
      </c>
      <c r="F34" s="25">
        <f>AVERAGE('CIR Scenarios'!AF4:'CIR Scenarios'!AF63)</f>
        <v>2.5778277205299818E-2</v>
      </c>
    </row>
    <row r="35" spans="1:6" x14ac:dyDescent="0.2">
      <c r="A35" s="5">
        <v>32</v>
      </c>
      <c r="B35" s="24">
        <f>C35*5</f>
        <v>0</v>
      </c>
      <c r="C35" s="3">
        <f>X284</f>
        <v>0</v>
      </c>
      <c r="D35" s="5">
        <f>W284</f>
        <v>1</v>
      </c>
      <c r="E35" s="3">
        <f>U284</f>
        <v>6580913.3452142477</v>
      </c>
      <c r="F35" s="4">
        <f>AVERAGE('CIR Scenarios'!AG4:'CIR Scenarios'!AG63)</f>
        <v>5.2631633107509554E-2</v>
      </c>
    </row>
    <row r="36" spans="1:6" x14ac:dyDescent="0.2">
      <c r="A36" s="23">
        <v>33</v>
      </c>
      <c r="B36" s="24">
        <f>C36*5</f>
        <v>0</v>
      </c>
      <c r="C36" s="24">
        <f>X291</f>
        <v>0</v>
      </c>
      <c r="D36" s="23">
        <f>W291</f>
        <v>1</v>
      </c>
      <c r="E36" s="24">
        <f>U291</f>
        <v>10375017.18178989</v>
      </c>
      <c r="F36" s="25">
        <f>AVERAGE('CIR Scenarios'!AH4:'CIR Scenarios'!AH63)</f>
        <v>6.9170528113774804E-2</v>
      </c>
    </row>
    <row r="37" spans="1:6" x14ac:dyDescent="0.2">
      <c r="A37" s="5">
        <v>34</v>
      </c>
      <c r="B37" s="24">
        <f>C37*5</f>
        <v>0</v>
      </c>
      <c r="C37" s="3">
        <f>X298</f>
        <v>0</v>
      </c>
      <c r="D37" s="5">
        <f>W298</f>
        <v>1</v>
      </c>
      <c r="E37" s="3">
        <f>U298</f>
        <v>5481896.8541838974</v>
      </c>
      <c r="F37" s="4">
        <f>AVERAGE('CIR Scenarios'!AI4:'CIR Scenarios'!AI63)</f>
        <v>4.583292808153127E-2</v>
      </c>
    </row>
    <row r="38" spans="1:6" x14ac:dyDescent="0.2">
      <c r="A38" s="23">
        <v>35</v>
      </c>
      <c r="B38" s="24">
        <f>C38*5</f>
        <v>0</v>
      </c>
      <c r="C38" s="24">
        <f>X305</f>
        <v>0</v>
      </c>
      <c r="D38" s="23">
        <f>W305</f>
        <v>1</v>
      </c>
      <c r="E38" s="24">
        <f>U305</f>
        <v>3293031.0662341863</v>
      </c>
      <c r="F38" s="25">
        <f>AVERAGE('CIR Scenarios'!AJ4:'CIR Scenarios'!AJ63)</f>
        <v>4.2943729409351317E-2</v>
      </c>
    </row>
    <row r="39" spans="1:6" x14ac:dyDescent="0.2">
      <c r="A39" s="5">
        <v>36</v>
      </c>
      <c r="B39" s="24">
        <f>C39*5</f>
        <v>5596886.7302558795</v>
      </c>
      <c r="C39" s="3">
        <f>X312</f>
        <v>1119377.3460511758</v>
      </c>
      <c r="D39" s="5">
        <f>W312</f>
        <v>5</v>
      </c>
      <c r="E39" s="3">
        <f>U312</f>
        <v>-1291487.9566280395</v>
      </c>
      <c r="F39" s="4">
        <f>AVERAGE('CIR Scenarios'!AK4:'CIR Scenarios'!AK63)</f>
        <v>2.8644042106752855E-2</v>
      </c>
    </row>
    <row r="40" spans="1:6" x14ac:dyDescent="0.2">
      <c r="A40" s="23">
        <v>37</v>
      </c>
      <c r="B40" s="24">
        <f>C40*5</f>
        <v>0</v>
      </c>
      <c r="C40" s="24">
        <f>X319</f>
        <v>0</v>
      </c>
      <c r="D40" s="23">
        <f>W319</f>
        <v>1</v>
      </c>
      <c r="E40" s="24">
        <f>U319</f>
        <v>11640588.189118698</v>
      </c>
      <c r="F40" s="25">
        <f>AVERAGE('CIR Scenarios'!AL4:'CIR Scenarios'!AL63)</f>
        <v>7.647418412209829E-2</v>
      </c>
    </row>
    <row r="41" spans="1:6" x14ac:dyDescent="0.2">
      <c r="A41" s="5">
        <v>38</v>
      </c>
      <c r="B41" s="24">
        <f>C41*5</f>
        <v>0</v>
      </c>
      <c r="C41" s="3">
        <f>X326</f>
        <v>0</v>
      </c>
      <c r="D41" s="5">
        <f>W326</f>
        <v>1</v>
      </c>
      <c r="E41" s="3">
        <f>U326</f>
        <v>3041029.7216159552</v>
      </c>
      <c r="F41" s="4">
        <f>AVERAGE('CIR Scenarios'!AM4:'CIR Scenarios'!AM63)</f>
        <v>4.3997519554572984E-2</v>
      </c>
    </row>
    <row r="42" spans="1:6" x14ac:dyDescent="0.2">
      <c r="A42" s="23">
        <v>39</v>
      </c>
      <c r="B42" s="24">
        <f>C42*5</f>
        <v>0</v>
      </c>
      <c r="C42" s="24">
        <f>X333</f>
        <v>0</v>
      </c>
      <c r="D42" s="23">
        <f>W333</f>
        <v>1</v>
      </c>
      <c r="E42" s="24">
        <f>U333</f>
        <v>1214742.1096791923</v>
      </c>
      <c r="F42" s="25">
        <f>AVERAGE('CIR Scenarios'!AN4:'CIR Scenarios'!AN63)</f>
        <v>3.0347096369246027E-2</v>
      </c>
    </row>
    <row r="43" spans="1:6" x14ac:dyDescent="0.2">
      <c r="A43" s="5">
        <v>40</v>
      </c>
      <c r="B43" s="24">
        <f>C43*5</f>
        <v>0</v>
      </c>
      <c r="C43" s="3">
        <f>X340</f>
        <v>0</v>
      </c>
      <c r="D43" s="5">
        <f>W340</f>
        <v>1</v>
      </c>
      <c r="E43" s="3">
        <f>U340</f>
        <v>2600067.9864931405</v>
      </c>
      <c r="F43" s="4">
        <f>AVERAGE('CIR Scenarios'!AO4:'CIR Scenarios'!AO63)</f>
        <v>3.6072754685335391E-2</v>
      </c>
    </row>
    <row r="44" spans="1:6" x14ac:dyDescent="0.2">
      <c r="A44" s="23">
        <v>41</v>
      </c>
      <c r="B44" s="24">
        <f>C44*5</f>
        <v>0</v>
      </c>
      <c r="C44" s="24">
        <f>X347</f>
        <v>0</v>
      </c>
      <c r="D44" s="23">
        <f>W347</f>
        <v>1</v>
      </c>
      <c r="E44" s="24">
        <f>U347</f>
        <v>5603446.8131502271</v>
      </c>
      <c r="F44" s="25">
        <f>AVERAGE('CIR Scenarios'!AP4:'CIR Scenarios'!AP63)</f>
        <v>5.0818938342889107E-2</v>
      </c>
    </row>
    <row r="45" spans="1:6" x14ac:dyDescent="0.2">
      <c r="A45" s="5">
        <v>42</v>
      </c>
      <c r="B45" s="24">
        <f>C45*5</f>
        <v>0</v>
      </c>
      <c r="C45" s="3">
        <f>X354</f>
        <v>0</v>
      </c>
      <c r="D45" s="5">
        <f>W354</f>
        <v>1</v>
      </c>
      <c r="E45" s="3">
        <f>U354</f>
        <v>2171570.9239687622</v>
      </c>
      <c r="F45" s="4">
        <f>AVERAGE('CIR Scenarios'!AQ4:'CIR Scenarios'!AQ63)</f>
        <v>4.5143171807503032E-2</v>
      </c>
    </row>
    <row r="46" spans="1:6" x14ac:dyDescent="0.2">
      <c r="A46" s="23">
        <v>43</v>
      </c>
      <c r="B46" s="24">
        <f>C46*5</f>
        <v>0</v>
      </c>
      <c r="C46" s="24">
        <f>X361</f>
        <v>0</v>
      </c>
      <c r="D46" s="23">
        <f>W361</f>
        <v>1</v>
      </c>
      <c r="E46" s="24">
        <f>U361</f>
        <v>5543282.3399890363</v>
      </c>
      <c r="F46" s="25">
        <f>AVERAGE('CIR Scenarios'!AR4:'CIR Scenarios'!AR63)</f>
        <v>4.9810880166363487E-2</v>
      </c>
    </row>
    <row r="47" spans="1:6" x14ac:dyDescent="0.2">
      <c r="A47" s="5">
        <v>44</v>
      </c>
      <c r="B47" s="24">
        <f>C47*5</f>
        <v>0</v>
      </c>
      <c r="C47" s="3">
        <f>X368</f>
        <v>0</v>
      </c>
      <c r="D47" s="5">
        <f>W368</f>
        <v>1</v>
      </c>
      <c r="E47" s="3">
        <f>U368</f>
        <v>623.71944451332092</v>
      </c>
      <c r="F47" s="4">
        <f>AVERAGE('CIR Scenarios'!AS4:'CIR Scenarios'!AS63)</f>
        <v>3.226256476928898E-2</v>
      </c>
    </row>
    <row r="48" spans="1:6" x14ac:dyDescent="0.2">
      <c r="A48" s="23">
        <v>45</v>
      </c>
      <c r="B48" s="24">
        <f>C48*5</f>
        <v>0</v>
      </c>
      <c r="C48" s="24">
        <f>X375</f>
        <v>0</v>
      </c>
      <c r="D48" s="23">
        <f>W375</f>
        <v>1</v>
      </c>
      <c r="E48" s="24">
        <f>U375</f>
        <v>2550642.9528800249</v>
      </c>
      <c r="F48" s="25">
        <f>AVERAGE('CIR Scenarios'!AT4:'CIR Scenarios'!AT63)</f>
        <v>3.8851962493593892E-2</v>
      </c>
    </row>
    <row r="49" spans="1:24" x14ac:dyDescent="0.2">
      <c r="A49" s="5">
        <v>46</v>
      </c>
      <c r="B49" s="24">
        <f>C49*5</f>
        <v>3050740.2749275644</v>
      </c>
      <c r="C49" s="3">
        <f>X382</f>
        <v>610148.05498551286</v>
      </c>
      <c r="D49" s="5">
        <f>W382</f>
        <v>5</v>
      </c>
      <c r="E49" s="3">
        <f>U382</f>
        <v>-689764.73831045628</v>
      </c>
      <c r="F49" s="4">
        <f>AVERAGE('CIR Scenarios'!AU4:'CIR Scenarios'!AU63)</f>
        <v>2.4556842638027151E-2</v>
      </c>
    </row>
    <row r="50" spans="1:24" x14ac:dyDescent="0.2">
      <c r="A50" s="23">
        <v>47</v>
      </c>
      <c r="B50" s="24">
        <f>C50*5</f>
        <v>4058649.1325178547</v>
      </c>
      <c r="C50" s="24">
        <f>X389</f>
        <v>811729.82650357089</v>
      </c>
      <c r="D50" s="23">
        <f>W389</f>
        <v>5</v>
      </c>
      <c r="E50" s="24">
        <f>U389</f>
        <v>-950167.68652664125</v>
      </c>
      <c r="F50" s="25">
        <f>AVERAGE('CIR Scenarios'!AV4:'CIR Scenarios'!AV63)</f>
        <v>3.1542192619415162E-2</v>
      </c>
    </row>
    <row r="51" spans="1:24" x14ac:dyDescent="0.2">
      <c r="A51" s="5">
        <v>48</v>
      </c>
      <c r="B51" s="24">
        <f>C51*5</f>
        <v>0</v>
      </c>
      <c r="C51" s="3">
        <f>X396</f>
        <v>0</v>
      </c>
      <c r="D51" s="5">
        <f>W396</f>
        <v>1</v>
      </c>
      <c r="E51" s="3">
        <f>U396</f>
        <v>4214293.5705520958</v>
      </c>
      <c r="F51" s="4">
        <f>AVERAGE('CIR Scenarios'!AW4:'CIR Scenarios'!AW63)</f>
        <v>4.280249162723769E-2</v>
      </c>
    </row>
    <row r="52" spans="1:24" x14ac:dyDescent="0.2">
      <c r="A52" s="23">
        <v>49</v>
      </c>
      <c r="B52" s="24">
        <f>C52*5</f>
        <v>0</v>
      </c>
      <c r="C52" s="24">
        <f>X403</f>
        <v>0</v>
      </c>
      <c r="D52" s="23">
        <f>W403</f>
        <v>1</v>
      </c>
      <c r="E52" s="24">
        <f>U403</f>
        <v>7136048.5893298835</v>
      </c>
      <c r="F52" s="25">
        <f>AVERAGE('CIR Scenarios'!AX4:'CIR Scenarios'!AX63)</f>
        <v>5.8836815776339875E-2</v>
      </c>
    </row>
    <row r="53" spans="1:24" x14ac:dyDescent="0.2">
      <c r="A53" s="5">
        <v>50</v>
      </c>
      <c r="B53" s="24">
        <f>C53*5</f>
        <v>0</v>
      </c>
      <c r="C53" s="3">
        <f>X410</f>
        <v>0</v>
      </c>
      <c r="D53" s="5">
        <f>W410</f>
        <v>1</v>
      </c>
      <c r="E53" s="3">
        <f>U410</f>
        <v>1827784.2628963888</v>
      </c>
      <c r="F53" s="4">
        <f>AVERAGE('CIR Scenarios'!AY4:'CIR Scenarios'!AY63)</f>
        <v>3.8811619681216346E-2</v>
      </c>
    </row>
    <row r="56" spans="1:24" x14ac:dyDescent="0.2">
      <c r="A56" s="47" t="s">
        <v>154</v>
      </c>
      <c r="B56" s="47"/>
    </row>
    <row r="62" spans="1:24" x14ac:dyDescent="0.2">
      <c r="I62">
        <v>1</v>
      </c>
      <c r="J62">
        <v>100000000</v>
      </c>
      <c r="K62">
        <f>J62*Asset_Coupon</f>
        <v>4000000</v>
      </c>
      <c r="L62">
        <v>20000000</v>
      </c>
      <c r="M62">
        <f>AVERAGE('CIR Scenarios'!B4:'CIR Scenarios'!B15)</f>
        <v>3.4090681500640145E-2</v>
      </c>
      <c r="N62">
        <v>0</v>
      </c>
      <c r="O62">
        <f>K62+L62+N62</f>
        <v>24000000</v>
      </c>
      <c r="P62">
        <f>FABN_Face*FABN_Rate</f>
        <v>3500000.0000000005</v>
      </c>
      <c r="Q62">
        <v>0</v>
      </c>
      <c r="R62">
        <f>Expenses</f>
        <v>50000</v>
      </c>
      <c r="S62">
        <f>P62+Q62+R62</f>
        <v>3550000.0000000005</v>
      </c>
      <c r="T62">
        <f>O62-S62</f>
        <v>20450000</v>
      </c>
      <c r="U62">
        <f>T62</f>
        <v>20450000</v>
      </c>
      <c r="V62">
        <f>MAX(0,-U62)</f>
        <v>0</v>
      </c>
      <c r="W62" cm="1">
        <f t="array" ref="W62">PRODUCT(1/(1+'CIR Scenarios'!B4:'CIR Scenarios'!B15/12))</f>
        <v>0.96653094750372626</v>
      </c>
      <c r="X62">
        <f>V62*W62</f>
        <v>0</v>
      </c>
    </row>
    <row r="63" spans="1:24" x14ac:dyDescent="0.2">
      <c r="I63">
        <v>2</v>
      </c>
      <c r="J63">
        <v>80000000</v>
      </c>
      <c r="K63">
        <f>J63*Asset_Coupon</f>
        <v>3200000</v>
      </c>
      <c r="L63">
        <v>20000000</v>
      </c>
      <c r="M63">
        <f>AVERAGE('CIR Scenarios'!B16:'CIR Scenarios'!B27)</f>
        <v>3.3256437388160018E-2</v>
      </c>
      <c r="N63">
        <f>IF(U62&gt;0,U62*M63,0)</f>
        <v>680094.14458787232</v>
      </c>
      <c r="O63">
        <f>K63+L63+N63</f>
        <v>23880094.144587871</v>
      </c>
      <c r="P63">
        <f>FABN_Face*FABN_Rate</f>
        <v>3500000.0000000005</v>
      </c>
      <c r="Q63">
        <v>0</v>
      </c>
      <c r="R63">
        <f>Expenses</f>
        <v>50000</v>
      </c>
      <c r="S63">
        <f>P63+Q63+R63</f>
        <v>3550000.0000000005</v>
      </c>
      <c r="T63">
        <f>O63-S63</f>
        <v>20330094.144587871</v>
      </c>
      <c r="U63">
        <f>U62+T63</f>
        <v>40780094.144587874</v>
      </c>
      <c r="V63">
        <f>MAX(0,-U63)</f>
        <v>0</v>
      </c>
      <c r="W63" cm="1">
        <f t="array" ref="W63">W62*PRODUCT(1/(1+'CIR Scenarios'!B16:'CIR Scenarios'!B27/12))</f>
        <v>0.93495979777994964</v>
      </c>
      <c r="X63">
        <f>V63*W63</f>
        <v>0</v>
      </c>
    </row>
    <row r="64" spans="1:24" x14ac:dyDescent="0.2">
      <c r="I64">
        <v>3</v>
      </c>
      <c r="J64">
        <v>60000000</v>
      </c>
      <c r="K64">
        <f>J64*Asset_Coupon</f>
        <v>2400000</v>
      </c>
      <c r="L64">
        <v>20000000</v>
      </c>
      <c r="M64">
        <f>AVERAGE('CIR Scenarios'!B28:'CIR Scenarios'!B39)</f>
        <v>3.2733510134233867E-2</v>
      </c>
      <c r="N64">
        <f>IF(U63&gt;0,U63*M64,0)</f>
        <v>1334875.6249568784</v>
      </c>
      <c r="O64">
        <f>K64+L64+N64</f>
        <v>23734875.62495688</v>
      </c>
      <c r="P64">
        <f>FABN_Face*FABN_Rate</f>
        <v>3500000.0000000005</v>
      </c>
      <c r="Q64">
        <v>0</v>
      </c>
      <c r="R64">
        <f>Expenses</f>
        <v>50000</v>
      </c>
      <c r="S64">
        <f>P64+Q64+R64</f>
        <v>3550000.0000000005</v>
      </c>
      <c r="T64">
        <f>O64-S64</f>
        <v>20184875.62495688</v>
      </c>
      <c r="U64">
        <f>U63+T64</f>
        <v>60964969.76954475</v>
      </c>
      <c r="V64">
        <f>MAX(0,-U64)</f>
        <v>0</v>
      </c>
      <c r="W64" cm="1">
        <f t="array" ref="W64">W63*PRODUCT(1/(1+'CIR Scenarios'!B28:'CIR Scenarios'!B39/12))</f>
        <v>0.9048913451659033</v>
      </c>
      <c r="X64">
        <f>V64*W64</f>
        <v>0</v>
      </c>
    </row>
    <row r="65" spans="9:24" x14ac:dyDescent="0.2">
      <c r="I65">
        <v>4</v>
      </c>
      <c r="J65">
        <v>40000000</v>
      </c>
      <c r="K65">
        <f>J65*Asset_Coupon</f>
        <v>1600000</v>
      </c>
      <c r="L65">
        <v>20000000</v>
      </c>
      <c r="M65">
        <f>AVERAGE('CIR Scenarios'!B40:'CIR Scenarios'!B51)</f>
        <v>3.6005772584764374E-2</v>
      </c>
      <c r="N65">
        <f>IF(U64&gt;0,U64*M65,0)</f>
        <v>2195090.8371592634</v>
      </c>
      <c r="O65">
        <f>K65+L65+N65</f>
        <v>23795090.837159265</v>
      </c>
      <c r="P65">
        <f>FABN_Face*FABN_Rate</f>
        <v>3500000.0000000005</v>
      </c>
      <c r="Q65">
        <v>0</v>
      </c>
      <c r="R65">
        <f>Expenses</f>
        <v>50000</v>
      </c>
      <c r="S65">
        <f>P65+Q65+R65</f>
        <v>3550000.0000000005</v>
      </c>
      <c r="T65">
        <f>O65-S65</f>
        <v>20245090.837159265</v>
      </c>
      <c r="U65">
        <f>U64+T65</f>
        <v>81210060.606704012</v>
      </c>
      <c r="V65">
        <f>MAX(0,-U65)</f>
        <v>0</v>
      </c>
      <c r="W65" cm="1">
        <f t="array" ref="W65">W64*PRODUCT(1/(1+'CIR Scenarios'!B40:'CIR Scenarios'!B51/12))</f>
        <v>0.87293706523270898</v>
      </c>
      <c r="X65">
        <f>V65*W65</f>
        <v>0</v>
      </c>
    </row>
    <row r="66" spans="9:24" x14ac:dyDescent="0.2">
      <c r="I66">
        <v>5</v>
      </c>
      <c r="J66">
        <v>20000000</v>
      </c>
      <c r="K66">
        <f>J66*Asset_Coupon</f>
        <v>800000</v>
      </c>
      <c r="L66">
        <v>20000000</v>
      </c>
      <c r="M66">
        <f>AVERAGE('CIR Scenarios'!B52:'CIR Scenarios'!B63)</f>
        <v>3.3865587136468291E-2</v>
      </c>
      <c r="N66">
        <f>IF(U65&gt;0,U65*M66,0)</f>
        <v>2750226.3838342056</v>
      </c>
      <c r="O66">
        <f>K66+L66+N66</f>
        <v>23550226.383834206</v>
      </c>
      <c r="P66">
        <f>FABN_Face*FABN_Rate</f>
        <v>3500000.0000000005</v>
      </c>
      <c r="Q66">
        <v>100000000</v>
      </c>
      <c r="R66">
        <f>Expenses</f>
        <v>50000</v>
      </c>
      <c r="S66">
        <f>P66+Q66+R66</f>
        <v>103550000</v>
      </c>
      <c r="T66">
        <f>O66-S66</f>
        <v>-79999773.616165787</v>
      </c>
      <c r="U66">
        <f>U65+T66</f>
        <v>1210286.9905382246</v>
      </c>
      <c r="V66">
        <f>MAX(0,-U66)</f>
        <v>0</v>
      </c>
      <c r="W66" cm="1">
        <f t="array" ref="W66">W65*PRODUCT(1/(1+'CIR Scenarios'!B52:'CIR Scenarios'!B63/12))</f>
        <v>0.84391226091696947</v>
      </c>
      <c r="X66">
        <f>V66*W66</f>
        <v>0</v>
      </c>
    </row>
    <row r="67" spans="9:24" x14ac:dyDescent="0.2">
      <c r="U67">
        <f>U66</f>
        <v>1210286.9905382246</v>
      </c>
      <c r="V67">
        <f>MAX(0,-U67)</f>
        <v>0</v>
      </c>
      <c r="W67">
        <f>MATCH(MAX(X62:X66),X62:X66,0)</f>
        <v>1</v>
      </c>
      <c r="X67">
        <f>MAX(X62:X66)</f>
        <v>0</v>
      </c>
    </row>
    <row r="69" spans="9:24" x14ac:dyDescent="0.2">
      <c r="I69">
        <v>1</v>
      </c>
      <c r="J69">
        <v>100000000</v>
      </c>
      <c r="K69">
        <f>J69*Asset_Coupon</f>
        <v>4000000</v>
      </c>
      <c r="L69">
        <v>20000000</v>
      </c>
      <c r="M69">
        <f>AVERAGE('CIR Scenarios'!C4:'CIR Scenarios'!C15)</f>
        <v>3.1772633953823799E-2</v>
      </c>
      <c r="N69">
        <v>0</v>
      </c>
      <c r="O69">
        <f>K69+L69+N69</f>
        <v>24000000</v>
      </c>
      <c r="P69">
        <f>FABN_Face*FABN_Rate</f>
        <v>3500000.0000000005</v>
      </c>
      <c r="Q69">
        <v>0</v>
      </c>
      <c r="R69">
        <f>Expenses</f>
        <v>50000</v>
      </c>
      <c r="S69">
        <f>P69+Q69+R69</f>
        <v>3550000.0000000005</v>
      </c>
      <c r="T69">
        <f>O69-S69</f>
        <v>20450000</v>
      </c>
      <c r="U69">
        <f>T69</f>
        <v>20450000</v>
      </c>
      <c r="V69">
        <f>MAX(0,-U69)</f>
        <v>0</v>
      </c>
      <c r="W69" cm="1">
        <f t="array" ref="W69">PRODUCT(1/(1+'CIR Scenarios'!C4:'CIR Scenarios'!C15/12))</f>
        <v>0.968768574635268</v>
      </c>
      <c r="X69">
        <f>V69*W69</f>
        <v>0</v>
      </c>
    </row>
    <row r="70" spans="9:24" x14ac:dyDescent="0.2">
      <c r="I70">
        <v>2</v>
      </c>
      <c r="J70">
        <v>80000000</v>
      </c>
      <c r="K70">
        <f>J70*Asset_Coupon</f>
        <v>3200000</v>
      </c>
      <c r="L70">
        <v>20000000</v>
      </c>
      <c r="M70">
        <f>AVERAGE('CIR Scenarios'!C16:'CIR Scenarios'!C27)</f>
        <v>2.158957191115363E-2</v>
      </c>
      <c r="N70">
        <f>IF(U69&gt;0,U69*M70,0)</f>
        <v>441506.74558309175</v>
      </c>
      <c r="O70">
        <f>K70+L70+N70</f>
        <v>23641506.745583091</v>
      </c>
      <c r="P70">
        <f>FABN_Face*FABN_Rate</f>
        <v>3500000.0000000005</v>
      </c>
      <c r="Q70">
        <v>0</v>
      </c>
      <c r="R70">
        <f>Expenses</f>
        <v>50000</v>
      </c>
      <c r="S70">
        <f>P70+Q70+R70</f>
        <v>3550000.0000000005</v>
      </c>
      <c r="T70">
        <f>O70-S70</f>
        <v>20091506.745583091</v>
      </c>
      <c r="U70">
        <f>U69+T70</f>
        <v>40541506.745583087</v>
      </c>
      <c r="V70">
        <f>MAX(0,-U70)</f>
        <v>0</v>
      </c>
      <c r="W70" cm="1">
        <f t="array" ref="W70">W69*PRODUCT(1/(1+'CIR Scenarios'!C16:'CIR Scenarios'!C27/12))</f>
        <v>0.94809626770701627</v>
      </c>
      <c r="X70">
        <f>V70*W70</f>
        <v>0</v>
      </c>
    </row>
    <row r="71" spans="9:24" x14ac:dyDescent="0.2">
      <c r="I71">
        <v>3</v>
      </c>
      <c r="J71">
        <v>60000000</v>
      </c>
      <c r="K71">
        <f>J71*Asset_Coupon</f>
        <v>2400000</v>
      </c>
      <c r="L71">
        <v>20000000</v>
      </c>
      <c r="M71">
        <f>AVERAGE('CIR Scenarios'!C28:'CIR Scenarios'!C39)</f>
        <v>1.8530467905673708E-2</v>
      </c>
      <c r="N71">
        <f>IF(U70&gt;0,U70*M71,0)</f>
        <v>751253.08959668153</v>
      </c>
      <c r="O71">
        <f>K71+L71+N71</f>
        <v>23151253.089596681</v>
      </c>
      <c r="P71">
        <f>FABN_Face*FABN_Rate</f>
        <v>3500000.0000000005</v>
      </c>
      <c r="Q71">
        <v>0</v>
      </c>
      <c r="R71">
        <f>Expenses</f>
        <v>50000</v>
      </c>
      <c r="S71">
        <f>P71+Q71+R71</f>
        <v>3550000.0000000005</v>
      </c>
      <c r="T71">
        <f>O71-S71</f>
        <v>19601253.089596681</v>
      </c>
      <c r="U71">
        <f>U70+T71</f>
        <v>60142759.835179769</v>
      </c>
      <c r="V71">
        <f>MAX(0,-U71)</f>
        <v>0</v>
      </c>
      <c r="W71" cm="1">
        <f t="array" ref="W71">W70*PRODUCT(1/(1+'CIR Scenarios'!C28:'CIR Scenarios'!C39/12))</f>
        <v>0.93070288179206184</v>
      </c>
      <c r="X71">
        <f>V71*W71</f>
        <v>0</v>
      </c>
    </row>
    <row r="72" spans="9:24" x14ac:dyDescent="0.2">
      <c r="I72">
        <v>4</v>
      </c>
      <c r="J72">
        <v>40000000</v>
      </c>
      <c r="K72">
        <f>J72*Asset_Coupon</f>
        <v>1600000</v>
      </c>
      <c r="L72">
        <v>20000000</v>
      </c>
      <c r="M72">
        <f>AVERAGE('CIR Scenarios'!C40:'CIR Scenarios'!C51)</f>
        <v>2.1199200391595254E-2</v>
      </c>
      <c r="N72">
        <f>IF(U71&gt;0,U71*M72,0)</f>
        <v>1274978.4178495624</v>
      </c>
      <c r="O72">
        <f>K72+L72+N72</f>
        <v>22874978.417849563</v>
      </c>
      <c r="P72">
        <f>FABN_Face*FABN_Rate</f>
        <v>3500000.0000000005</v>
      </c>
      <c r="Q72">
        <v>0</v>
      </c>
      <c r="R72">
        <f>Expenses</f>
        <v>50000</v>
      </c>
      <c r="S72">
        <f>P72+Q72+R72</f>
        <v>3550000.0000000005</v>
      </c>
      <c r="T72">
        <f>O72-S72</f>
        <v>19324978.417849563</v>
      </c>
      <c r="U72">
        <f>U71+T72</f>
        <v>79467738.253029332</v>
      </c>
      <c r="V72">
        <f>MAX(0,-U72)</f>
        <v>0</v>
      </c>
      <c r="W72" cm="1">
        <f t="array" ref="W72">W71*PRODUCT(1/(1+'CIR Scenarios'!C40:'CIR Scenarios'!C51/12))</f>
        <v>0.91119778059323475</v>
      </c>
      <c r="X72">
        <f>V72*W72</f>
        <v>0</v>
      </c>
    </row>
    <row r="73" spans="9:24" x14ac:dyDescent="0.2">
      <c r="I73">
        <v>5</v>
      </c>
      <c r="J73">
        <v>20000000</v>
      </c>
      <c r="K73">
        <f>J73*Asset_Coupon</f>
        <v>800000</v>
      </c>
      <c r="L73">
        <v>20000000</v>
      </c>
      <c r="M73">
        <f>AVERAGE('CIR Scenarios'!C52:'CIR Scenarios'!C63)</f>
        <v>2.0622325744840266E-2</v>
      </c>
      <c r="N73">
        <f>IF(U72&gt;0,U72*M73,0)</f>
        <v>1638809.5844596743</v>
      </c>
      <c r="O73">
        <f>K73+L73+N73</f>
        <v>22438809.584459674</v>
      </c>
      <c r="P73">
        <f>FABN_Face*FABN_Rate</f>
        <v>3500000.0000000005</v>
      </c>
      <c r="Q73">
        <v>100000000</v>
      </c>
      <c r="R73">
        <f>Expenses</f>
        <v>50000</v>
      </c>
      <c r="S73">
        <f>P73+Q73+R73</f>
        <v>103550000</v>
      </c>
      <c r="T73">
        <f>O73-S73</f>
        <v>-81111190.415540323</v>
      </c>
      <c r="U73">
        <f>U72+T73</f>
        <v>-1643452.1625109911</v>
      </c>
      <c r="V73">
        <f>MAX(0,-U73)</f>
        <v>1643452.1625109911</v>
      </c>
      <c r="W73" cm="1">
        <f t="array" ref="W73">W72*PRODUCT(1/(1+'CIR Scenarios'!C52:'CIR Scenarios'!C63/12))</f>
        <v>0.89261543018846756</v>
      </c>
      <c r="X73">
        <f>V73*W73</f>
        <v>1466970.7590339156</v>
      </c>
    </row>
    <row r="74" spans="9:24" x14ac:dyDescent="0.2">
      <c r="U74">
        <f>U73</f>
        <v>-1643452.1625109911</v>
      </c>
      <c r="V74">
        <f>MAX(0,-U74)</f>
        <v>1643452.1625109911</v>
      </c>
      <c r="W74">
        <f>MATCH(MAX(X69:X73),X69:X73,0)</f>
        <v>5</v>
      </c>
      <c r="X74">
        <f>MAX(X69:X73)</f>
        <v>1466970.7590339156</v>
      </c>
    </row>
    <row r="76" spans="9:24" x14ac:dyDescent="0.2">
      <c r="I76">
        <v>1</v>
      </c>
      <c r="J76">
        <v>100000000</v>
      </c>
      <c r="K76">
        <f>J76*Asset_Coupon</f>
        <v>4000000</v>
      </c>
      <c r="L76">
        <v>20000000</v>
      </c>
      <c r="M76">
        <f>AVERAGE('CIR Scenarios'!D4:'CIR Scenarios'!D15)</f>
        <v>4.6593811274334783E-2</v>
      </c>
      <c r="N76">
        <v>0</v>
      </c>
      <c r="O76">
        <f>K76+L76+N76</f>
        <v>24000000</v>
      </c>
      <c r="P76">
        <f>FABN_Face*FABN_Rate</f>
        <v>3500000.0000000005</v>
      </c>
      <c r="Q76">
        <v>0</v>
      </c>
      <c r="R76">
        <f>Expenses</f>
        <v>50000</v>
      </c>
      <c r="S76">
        <f>P76+Q76+R76</f>
        <v>3550000.0000000005</v>
      </c>
      <c r="T76">
        <f>O76-S76</f>
        <v>20450000</v>
      </c>
      <c r="U76">
        <f>T76</f>
        <v>20450000</v>
      </c>
      <c r="V76">
        <f>MAX(0,-U76)</f>
        <v>0</v>
      </c>
      <c r="W76" cm="1">
        <f t="array" ref="W76">PRODUCT(1/(1+'CIR Scenarios'!D4:'CIR Scenarios'!D15/12))</f>
        <v>0.95456148397617424</v>
      </c>
      <c r="X76">
        <f>V76*W76</f>
        <v>0</v>
      </c>
    </row>
    <row r="77" spans="9:24" x14ac:dyDescent="0.2">
      <c r="I77">
        <v>2</v>
      </c>
      <c r="J77">
        <v>80000000</v>
      </c>
      <c r="K77">
        <f>J77*Asset_Coupon</f>
        <v>3200000</v>
      </c>
      <c r="L77">
        <v>20000000</v>
      </c>
      <c r="M77">
        <f>AVERAGE('CIR Scenarios'!D16:'CIR Scenarios'!D27)</f>
        <v>3.3652753152745601E-2</v>
      </c>
      <c r="N77">
        <f>IF(U76&gt;0,U76*M77,0)</f>
        <v>688198.80197364755</v>
      </c>
      <c r="O77">
        <f>K77+L77+N77</f>
        <v>23888198.801973648</v>
      </c>
      <c r="P77">
        <f>FABN_Face*FABN_Rate</f>
        <v>3500000.0000000005</v>
      </c>
      <c r="Q77">
        <v>0</v>
      </c>
      <c r="R77">
        <f>Expenses</f>
        <v>50000</v>
      </c>
      <c r="S77">
        <f>P77+Q77+R77</f>
        <v>3550000.0000000005</v>
      </c>
      <c r="T77">
        <f>O77-S77</f>
        <v>20338198.801973648</v>
      </c>
      <c r="U77">
        <f>U76+T77</f>
        <v>40788198.801973648</v>
      </c>
      <c r="V77">
        <f>MAX(0,-U77)</f>
        <v>0</v>
      </c>
      <c r="W77" cm="1">
        <f t="array" ref="W77">W76*PRODUCT(1/(1+'CIR Scenarios'!D16:'CIR Scenarios'!D27/12))</f>
        <v>0.92301647578013313</v>
      </c>
      <c r="X77">
        <f>V77*W77</f>
        <v>0</v>
      </c>
    </row>
    <row r="78" spans="9:24" x14ac:dyDescent="0.2">
      <c r="I78">
        <v>3</v>
      </c>
      <c r="J78">
        <v>60000000</v>
      </c>
      <c r="K78">
        <f>J78*Asset_Coupon</f>
        <v>2400000</v>
      </c>
      <c r="L78">
        <v>20000000</v>
      </c>
      <c r="M78">
        <f>AVERAGE('CIR Scenarios'!D28:'CIR Scenarios'!D39)</f>
        <v>2.637950119357035E-2</v>
      </c>
      <c r="N78">
        <f>IF(U77&gt;0,U77*M78,0)</f>
        <v>1075972.3389802487</v>
      </c>
      <c r="O78">
        <f>K78+L78+N78</f>
        <v>23475972.33898025</v>
      </c>
      <c r="P78">
        <f>FABN_Face*FABN_Rate</f>
        <v>3500000.0000000005</v>
      </c>
      <c r="Q78">
        <v>0</v>
      </c>
      <c r="R78">
        <f>Expenses</f>
        <v>50000</v>
      </c>
      <c r="S78">
        <f>P78+Q78+R78</f>
        <v>3550000.0000000005</v>
      </c>
      <c r="T78">
        <f>O78-S78</f>
        <v>19925972.33898025</v>
      </c>
      <c r="U78">
        <f>U77+T78</f>
        <v>60714171.140953898</v>
      </c>
      <c r="V78">
        <f>MAX(0,-U78)</f>
        <v>0</v>
      </c>
      <c r="W78" cm="1">
        <f t="array" ref="W78">W77*PRODUCT(1/(1+'CIR Scenarios'!D28:'CIR Scenarios'!D39/12))</f>
        <v>0.89901256580765665</v>
      </c>
      <c r="X78">
        <f>V78*W78</f>
        <v>0</v>
      </c>
    </row>
    <row r="79" spans="9:24" x14ac:dyDescent="0.2">
      <c r="I79">
        <v>4</v>
      </c>
      <c r="J79">
        <v>40000000</v>
      </c>
      <c r="K79">
        <f>J79*Asset_Coupon</f>
        <v>1600000</v>
      </c>
      <c r="L79">
        <v>20000000</v>
      </c>
      <c r="M79">
        <f>AVERAGE('CIR Scenarios'!D40:'CIR Scenarios'!D51)</f>
        <v>2.7107877225606685E-2</v>
      </c>
      <c r="N79">
        <f>IF(U78&gt;0,U78*M79,0)</f>
        <v>1645832.2971434509</v>
      </c>
      <c r="O79">
        <f>K79+L79+N79</f>
        <v>23245832.297143452</v>
      </c>
      <c r="P79">
        <f>FABN_Face*FABN_Rate</f>
        <v>3500000.0000000005</v>
      </c>
      <c r="Q79">
        <v>0</v>
      </c>
      <c r="R79">
        <f>Expenses</f>
        <v>50000</v>
      </c>
      <c r="S79">
        <f>P79+Q79+R79</f>
        <v>3550000.0000000005</v>
      </c>
      <c r="T79">
        <f>O79-S79</f>
        <v>19695832.297143452</v>
      </c>
      <c r="U79">
        <f>U78+T79</f>
        <v>80410003.438097358</v>
      </c>
      <c r="V79">
        <f>MAX(0,-U79)</f>
        <v>0</v>
      </c>
      <c r="W79" cm="1">
        <f t="array" ref="W79">W78*PRODUCT(1/(1+'CIR Scenarios'!D40:'CIR Scenarios'!D51/12))</f>
        <v>0.87499659317516165</v>
      </c>
      <c r="X79">
        <f>V79*W79</f>
        <v>0</v>
      </c>
    </row>
    <row r="80" spans="9:24" x14ac:dyDescent="0.2">
      <c r="I80">
        <v>5</v>
      </c>
      <c r="J80">
        <v>20000000</v>
      </c>
      <c r="K80">
        <f>J80*Asset_Coupon</f>
        <v>800000</v>
      </c>
      <c r="L80">
        <v>20000000</v>
      </c>
      <c r="M80">
        <f>AVERAGE('CIR Scenarios'!D52:'CIR Scenarios'!D63)</f>
        <v>3.3474323673282964E-2</v>
      </c>
      <c r="N80">
        <f>IF(U79&gt;0,U79*M80,0)</f>
        <v>2691670.4816566668</v>
      </c>
      <c r="O80">
        <f>K80+L80+N80</f>
        <v>23491670.481656667</v>
      </c>
      <c r="P80">
        <f>FABN_Face*FABN_Rate</f>
        <v>3500000.0000000005</v>
      </c>
      <c r="Q80">
        <v>100000000</v>
      </c>
      <c r="R80">
        <f>Expenses</f>
        <v>50000</v>
      </c>
      <c r="S80">
        <f>P80+Q80+R80</f>
        <v>103550000</v>
      </c>
      <c r="T80">
        <f>O80-S80</f>
        <v>-80058329.518343329</v>
      </c>
      <c r="U80">
        <f>U79+T80</f>
        <v>351673.91975402832</v>
      </c>
      <c r="V80">
        <f>MAX(0,-U80)</f>
        <v>0</v>
      </c>
      <c r="W80" cm="1">
        <f t="array" ref="W80">W79*PRODUCT(1/(1+'CIR Scenarios'!D52:'CIR Scenarios'!D63/12))</f>
        <v>0.84623175149350727</v>
      </c>
      <c r="X80">
        <f>V80*W80</f>
        <v>0</v>
      </c>
    </row>
    <row r="81" spans="9:24" x14ac:dyDescent="0.2">
      <c r="U81">
        <f>U80</f>
        <v>351673.91975402832</v>
      </c>
      <c r="V81">
        <f>MAX(0,-U81)</f>
        <v>0</v>
      </c>
      <c r="W81">
        <f>MATCH(MAX(X76:X80),X76:X80,0)</f>
        <v>1</v>
      </c>
      <c r="X81">
        <f>MAX(X76:X80)</f>
        <v>0</v>
      </c>
    </row>
    <row r="83" spans="9:24" x14ac:dyDescent="0.2">
      <c r="I83">
        <v>1</v>
      </c>
      <c r="J83">
        <v>100000000</v>
      </c>
      <c r="K83">
        <f>J83*Asset_Coupon</f>
        <v>4000000</v>
      </c>
      <c r="L83">
        <v>20000000</v>
      </c>
      <c r="M83">
        <f>AVERAGE('CIR Scenarios'!E4:'CIR Scenarios'!E15)</f>
        <v>4.1252200975083704E-2</v>
      </c>
      <c r="N83">
        <v>0</v>
      </c>
      <c r="O83">
        <f>K83+L83+N83</f>
        <v>24000000</v>
      </c>
      <c r="P83">
        <f>FABN_Face*FABN_Rate</f>
        <v>3500000.0000000005</v>
      </c>
      <c r="Q83">
        <v>0</v>
      </c>
      <c r="R83">
        <f>Expenses</f>
        <v>50000</v>
      </c>
      <c r="S83">
        <f>P83+Q83+R83</f>
        <v>3550000.0000000005</v>
      </c>
      <c r="T83">
        <f>O83-S83</f>
        <v>20450000</v>
      </c>
      <c r="U83">
        <f>T83</f>
        <v>20450000</v>
      </c>
      <c r="V83">
        <f>MAX(0,-U83)</f>
        <v>0</v>
      </c>
      <c r="W83" cm="1">
        <f t="array" ref="W83">PRODUCT(1/(1+'CIR Scenarios'!E4:'CIR Scenarios'!E15/12))</f>
        <v>0.9596568137840642</v>
      </c>
      <c r="X83">
        <f>V83*W83</f>
        <v>0</v>
      </c>
    </row>
    <row r="84" spans="9:24" x14ac:dyDescent="0.2">
      <c r="I84">
        <v>2</v>
      </c>
      <c r="J84">
        <v>80000000</v>
      </c>
      <c r="K84">
        <f>J84*Asset_Coupon</f>
        <v>3200000</v>
      </c>
      <c r="L84">
        <v>20000000</v>
      </c>
      <c r="M84">
        <f>AVERAGE('CIR Scenarios'!E16:'CIR Scenarios'!E27)</f>
        <v>5.0865352910021984E-2</v>
      </c>
      <c r="N84">
        <f>IF(U83&gt;0,U83*M84,0)</f>
        <v>1040196.4670099496</v>
      </c>
      <c r="O84">
        <f>K84+L84+N84</f>
        <v>24240196.46700995</v>
      </c>
      <c r="P84">
        <f>FABN_Face*FABN_Rate</f>
        <v>3500000.0000000005</v>
      </c>
      <c r="Q84">
        <v>0</v>
      </c>
      <c r="R84">
        <f>Expenses</f>
        <v>50000</v>
      </c>
      <c r="S84">
        <f>P84+Q84+R84</f>
        <v>3550000.0000000005</v>
      </c>
      <c r="T84">
        <f>O84-S84</f>
        <v>20690196.46700995</v>
      </c>
      <c r="U84">
        <f>U83+T84</f>
        <v>41140196.467009947</v>
      </c>
      <c r="V84">
        <f>MAX(0,-U84)</f>
        <v>0</v>
      </c>
      <c r="W84" cm="1">
        <f t="array" ref="W84">W83*PRODUCT(1/(1+'CIR Scenarios'!E16:'CIR Scenarios'!E27/12))</f>
        <v>0.91216233566993732</v>
      </c>
      <c r="X84">
        <f>V84*W84</f>
        <v>0</v>
      </c>
    </row>
    <row r="85" spans="9:24" x14ac:dyDescent="0.2">
      <c r="I85">
        <v>3</v>
      </c>
      <c r="J85">
        <v>60000000</v>
      </c>
      <c r="K85">
        <f>J85*Asset_Coupon</f>
        <v>2400000</v>
      </c>
      <c r="L85">
        <v>20000000</v>
      </c>
      <c r="M85">
        <f>AVERAGE('CIR Scenarios'!E28:'CIR Scenarios'!E39)</f>
        <v>5.1202761891207982E-2</v>
      </c>
      <c r="N85">
        <f>IF(U84&gt;0,U84*M85,0)</f>
        <v>2106491.6838578261</v>
      </c>
      <c r="O85">
        <f>K85+L85+N85</f>
        <v>24506491.683857825</v>
      </c>
      <c r="P85">
        <f>FABN_Face*FABN_Rate</f>
        <v>3500000.0000000005</v>
      </c>
      <c r="Q85">
        <v>0</v>
      </c>
      <c r="R85">
        <f>Expenses</f>
        <v>50000</v>
      </c>
      <c r="S85">
        <f>P85+Q85+R85</f>
        <v>3550000.0000000005</v>
      </c>
      <c r="T85">
        <f>O85-S85</f>
        <v>20956491.683857825</v>
      </c>
      <c r="U85">
        <f>U84+T85</f>
        <v>62096688.150867775</v>
      </c>
      <c r="V85">
        <f>MAX(0,-U85)</f>
        <v>0</v>
      </c>
      <c r="W85" cm="1">
        <f t="array" ref="W85">W84*PRODUCT(1/(1+'CIR Scenarios'!E28:'CIR Scenarios'!E39/12))</f>
        <v>0.86672745862549982</v>
      </c>
      <c r="X85">
        <f>V85*W85</f>
        <v>0</v>
      </c>
    </row>
    <row r="86" spans="9:24" x14ac:dyDescent="0.2">
      <c r="I86">
        <v>4</v>
      </c>
      <c r="J86">
        <v>40000000</v>
      </c>
      <c r="K86">
        <f>J86*Asset_Coupon</f>
        <v>1600000</v>
      </c>
      <c r="L86">
        <v>20000000</v>
      </c>
      <c r="M86">
        <f>AVERAGE('CIR Scenarios'!E40:'CIR Scenarios'!E51)</f>
        <v>5.9144089213797983E-2</v>
      </c>
      <c r="N86">
        <f>IF(U85&gt;0,U85*M86,0)</f>
        <v>3672652.063876316</v>
      </c>
      <c r="O86">
        <f>K86+L86+N86</f>
        <v>25272652.063876316</v>
      </c>
      <c r="P86">
        <f>FABN_Face*FABN_Rate</f>
        <v>3500000.0000000005</v>
      </c>
      <c r="Q86">
        <v>0</v>
      </c>
      <c r="R86">
        <f>Expenses</f>
        <v>50000</v>
      </c>
      <c r="S86">
        <f>P86+Q86+R86</f>
        <v>3550000.0000000005</v>
      </c>
      <c r="T86">
        <f>O86-S86</f>
        <v>21722652.063876316</v>
      </c>
      <c r="U86">
        <f>U85+T86</f>
        <v>83819340.214744091</v>
      </c>
      <c r="V86">
        <f>MAX(0,-U86)</f>
        <v>0</v>
      </c>
      <c r="W86" cm="1">
        <f t="array" ref="W86">W85*PRODUCT(1/(1+'CIR Scenarios'!E40:'CIR Scenarios'!E51/12))</f>
        <v>0.81707108182140498</v>
      </c>
      <c r="X86">
        <f>V86*W86</f>
        <v>0</v>
      </c>
    </row>
    <row r="87" spans="9:24" x14ac:dyDescent="0.2">
      <c r="I87">
        <v>5</v>
      </c>
      <c r="J87">
        <v>20000000</v>
      </c>
      <c r="K87">
        <f>J87*Asset_Coupon</f>
        <v>800000</v>
      </c>
      <c r="L87">
        <v>20000000</v>
      </c>
      <c r="M87">
        <f>AVERAGE('CIR Scenarios'!E52:'CIR Scenarios'!E63)</f>
        <v>5.8958368095507717E-2</v>
      </c>
      <c r="N87">
        <f>IF(U86&gt;0,U86*M87,0)</f>
        <v>4941851.5139034754</v>
      </c>
      <c r="O87">
        <f>K87+L87+N87</f>
        <v>25741851.513903476</v>
      </c>
      <c r="P87">
        <f>FABN_Face*FABN_Rate</f>
        <v>3500000.0000000005</v>
      </c>
      <c r="Q87">
        <v>100000000</v>
      </c>
      <c r="R87">
        <f>Expenses</f>
        <v>50000</v>
      </c>
      <c r="S87">
        <f>P87+Q87+R87</f>
        <v>103550000</v>
      </c>
      <c r="T87">
        <f>O87-S87</f>
        <v>-77808148.486096531</v>
      </c>
      <c r="U87">
        <f>U86+T87</f>
        <v>6011191.7286475599</v>
      </c>
      <c r="V87">
        <f>MAX(0,-U87)</f>
        <v>0</v>
      </c>
      <c r="W87" cm="1">
        <f t="array" ref="W87">W86*PRODUCT(1/(1+'CIR Scenarios'!E52:'CIR Scenarios'!E63/12))</f>
        <v>0.77040237091354291</v>
      </c>
      <c r="X87">
        <f>V87*W87</f>
        <v>0</v>
      </c>
    </row>
    <row r="88" spans="9:24" x14ac:dyDescent="0.2">
      <c r="U88">
        <f>U87</f>
        <v>6011191.7286475599</v>
      </c>
      <c r="V88">
        <f>MAX(0,-U88)</f>
        <v>0</v>
      </c>
      <c r="W88">
        <f>MATCH(MAX(X83:X87),X83:X87,0)</f>
        <v>1</v>
      </c>
      <c r="X88">
        <f>MAX(X83:X87)</f>
        <v>0</v>
      </c>
    </row>
    <row r="90" spans="9:24" x14ac:dyDescent="0.2">
      <c r="I90">
        <v>1</v>
      </c>
      <c r="J90">
        <v>100000000</v>
      </c>
      <c r="K90">
        <f>J90*Asset_Coupon</f>
        <v>4000000</v>
      </c>
      <c r="L90">
        <v>20000000</v>
      </c>
      <c r="M90">
        <f>AVERAGE('CIR Scenarios'!F4:'CIR Scenarios'!F15)</f>
        <v>4.3417372855044462E-2</v>
      </c>
      <c r="N90">
        <v>0</v>
      </c>
      <c r="O90">
        <f>K90+L90+N90</f>
        <v>24000000</v>
      </c>
      <c r="P90">
        <f>FABN_Face*FABN_Rate</f>
        <v>3500000.0000000005</v>
      </c>
      <c r="Q90">
        <v>0</v>
      </c>
      <c r="R90">
        <f>Expenses</f>
        <v>50000</v>
      </c>
      <c r="S90">
        <f>P90+Q90+R90</f>
        <v>3550000.0000000005</v>
      </c>
      <c r="T90">
        <f>O90-S90</f>
        <v>20450000</v>
      </c>
      <c r="U90">
        <f>T90</f>
        <v>20450000</v>
      </c>
      <c r="V90">
        <f>MAX(0,-U90)</f>
        <v>0</v>
      </c>
      <c r="W90" cm="1">
        <f t="array" ref="W90">PRODUCT(1/(1+'CIR Scenarios'!F4:'CIR Scenarios'!F15/12))</f>
        <v>0.95758689031303201</v>
      </c>
      <c r="X90">
        <f>V90*W90</f>
        <v>0</v>
      </c>
    </row>
    <row r="91" spans="9:24" x14ac:dyDescent="0.2">
      <c r="I91">
        <v>2</v>
      </c>
      <c r="J91">
        <v>80000000</v>
      </c>
      <c r="K91">
        <f>J91*Asset_Coupon</f>
        <v>3200000</v>
      </c>
      <c r="L91">
        <v>20000000</v>
      </c>
      <c r="M91">
        <f>AVERAGE('CIR Scenarios'!F16:'CIR Scenarios'!F27)</f>
        <v>3.8651983244385686E-2</v>
      </c>
      <c r="N91">
        <f>IF(U90&gt;0,U90*M91,0)</f>
        <v>790433.05734768731</v>
      </c>
      <c r="O91">
        <f>K91+L91+N91</f>
        <v>23990433.057347689</v>
      </c>
      <c r="P91">
        <f>FABN_Face*FABN_Rate</f>
        <v>3500000.0000000005</v>
      </c>
      <c r="Q91">
        <v>0</v>
      </c>
      <c r="R91">
        <f>Expenses</f>
        <v>50000</v>
      </c>
      <c r="S91">
        <f>P91+Q91+R91</f>
        <v>3550000.0000000005</v>
      </c>
      <c r="T91">
        <f>O91-S91</f>
        <v>20440433.057347689</v>
      </c>
      <c r="U91">
        <f>U90+T91</f>
        <v>40890433.057347685</v>
      </c>
      <c r="V91">
        <f>MAX(0,-U91)</f>
        <v>0</v>
      </c>
      <c r="W91" cm="1">
        <f t="array" ref="W91">W90*PRODUCT(1/(1+'CIR Scenarios'!F16:'CIR Scenarios'!F27/12))</f>
        <v>0.92133846275226161</v>
      </c>
      <c r="X91">
        <f>V91*W91</f>
        <v>0</v>
      </c>
    </row>
    <row r="92" spans="9:24" x14ac:dyDescent="0.2">
      <c r="I92">
        <v>3</v>
      </c>
      <c r="J92">
        <v>60000000</v>
      </c>
      <c r="K92">
        <f>J92*Asset_Coupon</f>
        <v>2400000</v>
      </c>
      <c r="L92">
        <v>20000000</v>
      </c>
      <c r="M92">
        <f>AVERAGE('CIR Scenarios'!F28:'CIR Scenarios'!F39)</f>
        <v>3.7885122539977903E-2</v>
      </c>
      <c r="N92">
        <f>IF(U91&gt;0,U91*M92,0)</f>
        <v>1549139.0670903802</v>
      </c>
      <c r="O92">
        <f>K92+L92+N92</f>
        <v>23949139.067090381</v>
      </c>
      <c r="P92">
        <f>FABN_Face*FABN_Rate</f>
        <v>3500000.0000000005</v>
      </c>
      <c r="Q92">
        <v>0</v>
      </c>
      <c r="R92">
        <f>Expenses</f>
        <v>50000</v>
      </c>
      <c r="S92">
        <f>P92+Q92+R92</f>
        <v>3550000.0000000005</v>
      </c>
      <c r="T92">
        <f>O92-S92</f>
        <v>20399139.067090381</v>
      </c>
      <c r="U92">
        <f>U91+T92</f>
        <v>61289572.124438062</v>
      </c>
      <c r="V92">
        <f>MAX(0,-U92)</f>
        <v>0</v>
      </c>
      <c r="W92" cm="1">
        <f t="array" ref="W92">W91*PRODUCT(1/(1+'CIR Scenarios'!F28:'CIR Scenarios'!F39/12))</f>
        <v>0.8871407845687046</v>
      </c>
      <c r="X92">
        <f>V92*W92</f>
        <v>0</v>
      </c>
    </row>
    <row r="93" spans="9:24" x14ac:dyDescent="0.2">
      <c r="I93">
        <v>4</v>
      </c>
      <c r="J93">
        <v>40000000</v>
      </c>
      <c r="K93">
        <f>J93*Asset_Coupon</f>
        <v>1600000</v>
      </c>
      <c r="L93">
        <v>20000000</v>
      </c>
      <c r="M93">
        <f>AVERAGE('CIR Scenarios'!F40:'CIR Scenarios'!F51)</f>
        <v>2.8499384929925018E-2</v>
      </c>
      <c r="N93">
        <f>IF(U92&gt;0,U92*M93,0)</f>
        <v>1746715.1081647626</v>
      </c>
      <c r="O93">
        <f>K93+L93+N93</f>
        <v>23346715.108164761</v>
      </c>
      <c r="P93">
        <f>FABN_Face*FABN_Rate</f>
        <v>3500000.0000000005</v>
      </c>
      <c r="Q93">
        <v>0</v>
      </c>
      <c r="R93">
        <f>Expenses</f>
        <v>50000</v>
      </c>
      <c r="S93">
        <f>P93+Q93+R93</f>
        <v>3550000.0000000005</v>
      </c>
      <c r="T93">
        <f>O93-S93</f>
        <v>19796715.108164761</v>
      </c>
      <c r="U93">
        <f>U92+T93</f>
        <v>81086287.23260282</v>
      </c>
      <c r="V93">
        <f>MAX(0,-U93)</f>
        <v>0</v>
      </c>
      <c r="W93" cm="1">
        <f t="array" ref="W93">W92*PRODUCT(1/(1+'CIR Scenarios'!F40:'CIR Scenarios'!F51/12))</f>
        <v>0.86224406792368247</v>
      </c>
      <c r="X93">
        <f>V93*W93</f>
        <v>0</v>
      </c>
    </row>
    <row r="94" spans="9:24" x14ac:dyDescent="0.2">
      <c r="I94">
        <v>5</v>
      </c>
      <c r="J94">
        <v>20000000</v>
      </c>
      <c r="K94">
        <f>J94*Asset_Coupon</f>
        <v>800000</v>
      </c>
      <c r="L94">
        <v>20000000</v>
      </c>
      <c r="M94">
        <f>AVERAGE('CIR Scenarios'!F52:'CIR Scenarios'!F63)</f>
        <v>3.5579193791529885E-2</v>
      </c>
      <c r="N94">
        <f>IF(U93&gt;0,U93*M94,0)</f>
        <v>2884984.7272844315</v>
      </c>
      <c r="O94">
        <f>K94+L94+N94</f>
        <v>23684984.727284431</v>
      </c>
      <c r="P94">
        <f>FABN_Face*FABN_Rate</f>
        <v>3500000.0000000005</v>
      </c>
      <c r="Q94">
        <v>100000000</v>
      </c>
      <c r="R94">
        <f>Expenses</f>
        <v>50000</v>
      </c>
      <c r="S94">
        <f>P94+Q94+R94</f>
        <v>103550000</v>
      </c>
      <c r="T94">
        <f>O94-S94</f>
        <v>-79865015.272715569</v>
      </c>
      <c r="U94">
        <f>U93+T94</f>
        <v>1221271.9598872513</v>
      </c>
      <c r="V94">
        <f>MAX(0,-U94)</f>
        <v>0</v>
      </c>
      <c r="W94" cm="1">
        <f t="array" ref="W94">W93*PRODUCT(1/(1+'CIR Scenarios'!F52:'CIR Scenarios'!F63/12))</f>
        <v>0.83215014711086521</v>
      </c>
      <c r="X94">
        <f>V94*W94</f>
        <v>0</v>
      </c>
    </row>
    <row r="95" spans="9:24" x14ac:dyDescent="0.2">
      <c r="U95">
        <f>U94</f>
        <v>1221271.9598872513</v>
      </c>
      <c r="V95">
        <f>MAX(0,-U95)</f>
        <v>0</v>
      </c>
      <c r="W95">
        <f>MATCH(MAX(X90:X94),X90:X94,0)</f>
        <v>1</v>
      </c>
      <c r="X95">
        <f>MAX(X90:X94)</f>
        <v>0</v>
      </c>
    </row>
    <row r="97" spans="9:24" x14ac:dyDescent="0.2">
      <c r="I97">
        <v>1</v>
      </c>
      <c r="J97">
        <v>100000000</v>
      </c>
      <c r="K97">
        <f>J97*Asset_Coupon</f>
        <v>4000000</v>
      </c>
      <c r="L97">
        <v>20000000</v>
      </c>
      <c r="M97">
        <f>AVERAGE('CIR Scenarios'!G4:'CIR Scenarios'!G15)</f>
        <v>3.7227712672678798E-2</v>
      </c>
      <c r="N97">
        <v>0</v>
      </c>
      <c r="O97">
        <f>K97+L97+N97</f>
        <v>24000000</v>
      </c>
      <c r="P97">
        <f>FABN_Face*FABN_Rate</f>
        <v>3500000.0000000005</v>
      </c>
      <c r="Q97">
        <v>0</v>
      </c>
      <c r="R97">
        <f>Expenses</f>
        <v>50000</v>
      </c>
      <c r="S97">
        <f>P97+Q97+R97</f>
        <v>3550000.0000000005</v>
      </c>
      <c r="T97">
        <f>O97-S97</f>
        <v>20450000</v>
      </c>
      <c r="U97">
        <f>T97</f>
        <v>20450000</v>
      </c>
      <c r="V97">
        <f>MAX(0,-U97)</f>
        <v>0</v>
      </c>
      <c r="W97" cm="1">
        <f t="array" ref="W97">PRODUCT(1/(1+'CIR Scenarios'!G4:'CIR Scenarios'!G15/12))</f>
        <v>0.96351257694516113</v>
      </c>
      <c r="X97">
        <f>V97*W97</f>
        <v>0</v>
      </c>
    </row>
    <row r="98" spans="9:24" x14ac:dyDescent="0.2">
      <c r="I98">
        <v>2</v>
      </c>
      <c r="J98">
        <v>80000000</v>
      </c>
      <c r="K98">
        <f>J98*Asset_Coupon</f>
        <v>3200000</v>
      </c>
      <c r="L98">
        <v>20000000</v>
      </c>
      <c r="M98">
        <f>AVERAGE('CIR Scenarios'!G16:'CIR Scenarios'!G27)</f>
        <v>3.1678439142786757E-2</v>
      </c>
      <c r="N98">
        <f>IF(U97&gt;0,U97*M98,0)</f>
        <v>647824.08046998922</v>
      </c>
      <c r="O98">
        <f>K98+L98+N98</f>
        <v>23847824.080469988</v>
      </c>
      <c r="P98">
        <f>FABN_Face*FABN_Rate</f>
        <v>3500000.0000000005</v>
      </c>
      <c r="Q98">
        <v>0</v>
      </c>
      <c r="R98">
        <f>Expenses</f>
        <v>50000</v>
      </c>
      <c r="S98">
        <f>P98+Q98+R98</f>
        <v>3550000.0000000005</v>
      </c>
      <c r="T98">
        <f>O98-S98</f>
        <v>20297824.080469988</v>
      </c>
      <c r="U98">
        <f>U97+T98</f>
        <v>40747824.080469988</v>
      </c>
      <c r="V98">
        <f>MAX(0,-U98)</f>
        <v>0</v>
      </c>
      <c r="W98" cm="1">
        <f t="array" ref="W98">W97*PRODUCT(1/(1+'CIR Scenarios'!G16:'CIR Scenarios'!G27/12))</f>
        <v>0.93350815669572917</v>
      </c>
      <c r="X98">
        <f>V98*W98</f>
        <v>0</v>
      </c>
    </row>
    <row r="99" spans="9:24" x14ac:dyDescent="0.2">
      <c r="I99">
        <v>3</v>
      </c>
      <c r="J99">
        <v>60000000</v>
      </c>
      <c r="K99">
        <f>J99*Asset_Coupon</f>
        <v>2400000</v>
      </c>
      <c r="L99">
        <v>20000000</v>
      </c>
      <c r="M99">
        <f>AVERAGE('CIR Scenarios'!G28:'CIR Scenarios'!G39)</f>
        <v>3.2685544619920189E-2</v>
      </c>
      <c r="N99">
        <f>IF(U98&gt;0,U98*M99,0)</f>
        <v>1331864.8221468602</v>
      </c>
      <c r="O99">
        <f>K99+L99+N99</f>
        <v>23731864.822146859</v>
      </c>
      <c r="P99">
        <f>FABN_Face*FABN_Rate</f>
        <v>3500000.0000000005</v>
      </c>
      <c r="Q99">
        <v>0</v>
      </c>
      <c r="R99">
        <f>Expenses</f>
        <v>50000</v>
      </c>
      <c r="S99">
        <f>P99+Q99+R99</f>
        <v>3550000.0000000005</v>
      </c>
      <c r="T99">
        <f>O99-S99</f>
        <v>20181864.822146859</v>
      </c>
      <c r="U99">
        <f>U98+T99</f>
        <v>60929688.902616844</v>
      </c>
      <c r="V99">
        <f>MAX(0,-U99)</f>
        <v>0</v>
      </c>
      <c r="W99" cm="1">
        <f t="array" ref="W99">W98*PRODUCT(1/(1+'CIR Scenarios'!G28:'CIR Scenarios'!G39/12))</f>
        <v>0.90353015034549844</v>
      </c>
      <c r="X99">
        <f>V99*W99</f>
        <v>0</v>
      </c>
    </row>
    <row r="100" spans="9:24" x14ac:dyDescent="0.2">
      <c r="I100">
        <v>4</v>
      </c>
      <c r="J100">
        <v>40000000</v>
      </c>
      <c r="K100">
        <f>J100*Asset_Coupon</f>
        <v>1600000</v>
      </c>
      <c r="L100">
        <v>20000000</v>
      </c>
      <c r="M100">
        <f>AVERAGE('CIR Scenarios'!G40:'CIR Scenarios'!G51)</f>
        <v>2.3836408046605844E-2</v>
      </c>
      <c r="N100">
        <f>IF(U99&gt;0,U99*M100,0)</f>
        <v>1452344.9268355269</v>
      </c>
      <c r="O100">
        <f>K100+L100+N100</f>
        <v>23052344.926835526</v>
      </c>
      <c r="P100">
        <f>FABN_Face*FABN_Rate</f>
        <v>3500000.0000000005</v>
      </c>
      <c r="Q100">
        <v>0</v>
      </c>
      <c r="R100">
        <f>Expenses</f>
        <v>50000</v>
      </c>
      <c r="S100">
        <f>P100+Q100+R100</f>
        <v>3550000.0000000005</v>
      </c>
      <c r="T100">
        <f>O100-S100</f>
        <v>19502344.926835526</v>
      </c>
      <c r="U100">
        <f>U99+T100</f>
        <v>80432033.829452366</v>
      </c>
      <c r="V100">
        <f>MAX(0,-U100)</f>
        <v>0</v>
      </c>
      <c r="W100" cm="1">
        <f t="array" ref="W100">W99*PRODUCT(1/(1+'CIR Scenarios'!G40:'CIR Scenarios'!G51/12))</f>
        <v>0.88226887685869493</v>
      </c>
      <c r="X100">
        <f>V100*W100</f>
        <v>0</v>
      </c>
    </row>
    <row r="101" spans="9:24" x14ac:dyDescent="0.2">
      <c r="I101">
        <v>5</v>
      </c>
      <c r="J101">
        <v>20000000</v>
      </c>
      <c r="K101">
        <f>J101*Asset_Coupon</f>
        <v>800000</v>
      </c>
      <c r="L101">
        <v>20000000</v>
      </c>
      <c r="M101">
        <f>AVERAGE('CIR Scenarios'!G52:'CIR Scenarios'!G63)</f>
        <v>2.7149858892951739E-2</v>
      </c>
      <c r="N101">
        <f>IF(U100&gt;0,U100*M101,0)</f>
        <v>2183718.3689427525</v>
      </c>
      <c r="O101">
        <f>K101+L101+N101</f>
        <v>22983718.368942752</v>
      </c>
      <c r="P101">
        <f>FABN_Face*FABN_Rate</f>
        <v>3500000.0000000005</v>
      </c>
      <c r="Q101">
        <v>100000000</v>
      </c>
      <c r="R101">
        <f>Expenses</f>
        <v>50000</v>
      </c>
      <c r="S101">
        <f>P101+Q101+R101</f>
        <v>103550000</v>
      </c>
      <c r="T101">
        <f>O101-S101</f>
        <v>-80566281.631057248</v>
      </c>
      <c r="U101">
        <f>U100+T101</f>
        <v>-134247.80160488188</v>
      </c>
      <c r="V101">
        <f>MAX(0,-U101)</f>
        <v>134247.80160488188</v>
      </c>
      <c r="W101" cm="1">
        <f t="array" ref="W101">W100*PRODUCT(1/(1+'CIR Scenarios'!G52:'CIR Scenarios'!G63/12))</f>
        <v>0.85866489362345622</v>
      </c>
      <c r="X101">
        <f>V101*W101</f>
        <v>115273.87428423876</v>
      </c>
    </row>
    <row r="102" spans="9:24" x14ac:dyDescent="0.2">
      <c r="U102">
        <f>U101</f>
        <v>-134247.80160488188</v>
      </c>
      <c r="V102">
        <f>MAX(0,-U102)</f>
        <v>134247.80160488188</v>
      </c>
      <c r="W102">
        <f>MATCH(MAX(X97:X101),X97:X101,0)</f>
        <v>5</v>
      </c>
      <c r="X102">
        <f>MAX(X97:X101)</f>
        <v>115273.87428423876</v>
      </c>
    </row>
    <row r="104" spans="9:24" x14ac:dyDescent="0.2">
      <c r="I104">
        <v>1</v>
      </c>
      <c r="J104">
        <v>100000000</v>
      </c>
      <c r="K104">
        <f>J104*Asset_Coupon</f>
        <v>4000000</v>
      </c>
      <c r="L104">
        <v>20000000</v>
      </c>
      <c r="M104">
        <f>AVERAGE('CIR Scenarios'!H4:'CIR Scenarios'!H15)</f>
        <v>3.9129848728861494E-2</v>
      </c>
      <c r="N104">
        <v>0</v>
      </c>
      <c r="O104">
        <f>K104+L104+N104</f>
        <v>24000000</v>
      </c>
      <c r="P104">
        <f>FABN_Face*FABN_Rate</f>
        <v>3500000.0000000005</v>
      </c>
      <c r="Q104">
        <v>0</v>
      </c>
      <c r="R104">
        <f>Expenses</f>
        <v>50000</v>
      </c>
      <c r="S104">
        <f>P104+Q104+R104</f>
        <v>3550000.0000000005</v>
      </c>
      <c r="T104">
        <f>O104-S104</f>
        <v>20450000</v>
      </c>
      <c r="U104">
        <f>T104</f>
        <v>20450000</v>
      </c>
      <c r="V104">
        <f>MAX(0,-U104)</f>
        <v>0</v>
      </c>
      <c r="W104" cm="1">
        <f t="array" ref="W104">PRODUCT(1/(1+'CIR Scenarios'!H4:'CIR Scenarios'!H15/12))</f>
        <v>0.9616871229992443</v>
      </c>
      <c r="X104">
        <f>V104*W104</f>
        <v>0</v>
      </c>
    </row>
    <row r="105" spans="9:24" x14ac:dyDescent="0.2">
      <c r="I105">
        <v>2</v>
      </c>
      <c r="J105">
        <v>80000000</v>
      </c>
      <c r="K105">
        <f>J105*Asset_Coupon</f>
        <v>3200000</v>
      </c>
      <c r="L105">
        <v>20000000</v>
      </c>
      <c r="M105">
        <f>AVERAGE('CIR Scenarios'!H16:'CIR Scenarios'!H27)</f>
        <v>3.6251868925564396E-2</v>
      </c>
      <c r="N105">
        <f>IF(U104&gt;0,U104*M105,0)</f>
        <v>741350.71952779184</v>
      </c>
      <c r="O105">
        <f>K105+L105+N105</f>
        <v>23941350.719527792</v>
      </c>
      <c r="P105">
        <f>FABN_Face*FABN_Rate</f>
        <v>3500000.0000000005</v>
      </c>
      <c r="Q105">
        <v>0</v>
      </c>
      <c r="R105">
        <f>Expenses</f>
        <v>50000</v>
      </c>
      <c r="S105">
        <f>P105+Q105+R105</f>
        <v>3550000.0000000005</v>
      </c>
      <c r="T105">
        <f>O105-S105</f>
        <v>20391350.719527792</v>
      </c>
      <c r="U105">
        <f>U104+T105</f>
        <v>40841350.719527796</v>
      </c>
      <c r="V105">
        <f>MAX(0,-U105)</f>
        <v>0</v>
      </c>
      <c r="W105" cm="1">
        <f t="array" ref="W105">W104*PRODUCT(1/(1+'CIR Scenarios'!H16:'CIR Scenarios'!H27/12))</f>
        <v>0.9275000261549976</v>
      </c>
      <c r="X105">
        <f>V105*W105</f>
        <v>0</v>
      </c>
    </row>
    <row r="106" spans="9:24" x14ac:dyDescent="0.2">
      <c r="I106">
        <v>3</v>
      </c>
      <c r="J106">
        <v>60000000</v>
      </c>
      <c r="K106">
        <f>J106*Asset_Coupon</f>
        <v>2400000</v>
      </c>
      <c r="L106">
        <v>20000000</v>
      </c>
      <c r="M106">
        <f>AVERAGE('CIR Scenarios'!H28:'CIR Scenarios'!H39)</f>
        <v>2.2785169379291408E-2</v>
      </c>
      <c r="N106">
        <f>IF(U105&gt;0,U105*M106,0)</f>
        <v>930577.09382348589</v>
      </c>
      <c r="O106">
        <f>K106+L106+N106</f>
        <v>23330577.093823485</v>
      </c>
      <c r="P106">
        <f>FABN_Face*FABN_Rate</f>
        <v>3500000.0000000005</v>
      </c>
      <c r="Q106">
        <v>0</v>
      </c>
      <c r="R106">
        <f>Expenses</f>
        <v>50000</v>
      </c>
      <c r="S106">
        <f>P106+Q106+R106</f>
        <v>3550000.0000000005</v>
      </c>
      <c r="T106">
        <f>O106-S106</f>
        <v>19780577.093823485</v>
      </c>
      <c r="U106">
        <f>U105+T106</f>
        <v>60621927.813351281</v>
      </c>
      <c r="V106">
        <f>MAX(0,-U106)</f>
        <v>0</v>
      </c>
      <c r="W106" cm="1">
        <f t="array" ref="W106">W105*PRODUCT(1/(1+'CIR Scenarios'!H28:'CIR Scenarios'!H39/12))</f>
        <v>0.90662617446078231</v>
      </c>
      <c r="X106">
        <f>V106*W106</f>
        <v>0</v>
      </c>
    </row>
    <row r="107" spans="9:24" x14ac:dyDescent="0.2">
      <c r="I107">
        <v>4</v>
      </c>
      <c r="J107">
        <v>40000000</v>
      </c>
      <c r="K107">
        <f>J107*Asset_Coupon</f>
        <v>1600000</v>
      </c>
      <c r="L107">
        <v>20000000</v>
      </c>
      <c r="M107">
        <f>AVERAGE('CIR Scenarios'!H40:'CIR Scenarios'!H51)</f>
        <v>1.858303760350407E-2</v>
      </c>
      <c r="N107">
        <f>IF(U106&gt;0,U106*M107,0)</f>
        <v>1126539.5641524161</v>
      </c>
      <c r="O107">
        <f>K107+L107+N107</f>
        <v>22726539.564152416</v>
      </c>
      <c r="P107">
        <f>FABN_Face*FABN_Rate</f>
        <v>3500000.0000000005</v>
      </c>
      <c r="Q107">
        <v>0</v>
      </c>
      <c r="R107">
        <f>Expenses</f>
        <v>50000</v>
      </c>
      <c r="S107">
        <f>P107+Q107+R107</f>
        <v>3550000.0000000005</v>
      </c>
      <c r="T107">
        <f>O107-S107</f>
        <v>19176539.564152416</v>
      </c>
      <c r="U107">
        <f>U106+T107</f>
        <v>79798467.377503693</v>
      </c>
      <c r="V107">
        <f>MAX(0,-U107)</f>
        <v>0</v>
      </c>
      <c r="W107" cm="1">
        <f t="array" ref="W107">W106*PRODUCT(1/(1+'CIR Scenarios'!H40:'CIR Scenarios'!H51/12))</f>
        <v>0.88994683721089241</v>
      </c>
      <c r="X107">
        <f>V107*W107</f>
        <v>0</v>
      </c>
    </row>
    <row r="108" spans="9:24" x14ac:dyDescent="0.2">
      <c r="I108">
        <v>5</v>
      </c>
      <c r="J108">
        <v>20000000</v>
      </c>
      <c r="K108">
        <f>J108*Asset_Coupon</f>
        <v>800000</v>
      </c>
      <c r="L108">
        <v>20000000</v>
      </c>
      <c r="M108">
        <f>AVERAGE('CIR Scenarios'!H52:'CIR Scenarios'!H63)</f>
        <v>2.2814065506502865E-2</v>
      </c>
      <c r="N108">
        <f>IF(U107&gt;0,U107*M108,0)</f>
        <v>1820527.4620689012</v>
      </c>
      <c r="O108">
        <f>K108+L108+N108</f>
        <v>22620527.4620689</v>
      </c>
      <c r="P108">
        <f>FABN_Face*FABN_Rate</f>
        <v>3500000.0000000005</v>
      </c>
      <c r="Q108">
        <v>100000000</v>
      </c>
      <c r="R108">
        <f>Expenses</f>
        <v>50000</v>
      </c>
      <c r="S108">
        <f>P108+Q108+R108</f>
        <v>103550000</v>
      </c>
      <c r="T108">
        <f>O108-S108</f>
        <v>-80929472.5379311</v>
      </c>
      <c r="U108">
        <f>U107+T108</f>
        <v>-1131005.1604274064</v>
      </c>
      <c r="V108">
        <f>MAX(0,-U108)</f>
        <v>1131005.1604274064</v>
      </c>
      <c r="W108" cm="1">
        <f t="array" ref="W108">W107*PRODUCT(1/(1+'CIR Scenarios'!H52:'CIR Scenarios'!H63/12))</f>
        <v>0.86989241320503086</v>
      </c>
      <c r="X108">
        <f>V108*W108</f>
        <v>983852.80835153966</v>
      </c>
    </row>
    <row r="109" spans="9:24" x14ac:dyDescent="0.2">
      <c r="U109">
        <f>U108</f>
        <v>-1131005.1604274064</v>
      </c>
      <c r="V109">
        <f>MAX(0,-U109)</f>
        <v>1131005.1604274064</v>
      </c>
      <c r="W109">
        <f>MATCH(MAX(X104:X108),X104:X108,0)</f>
        <v>5</v>
      </c>
      <c r="X109">
        <f>MAX(X104:X108)</f>
        <v>983852.80835153966</v>
      </c>
    </row>
    <row r="111" spans="9:24" x14ac:dyDescent="0.2">
      <c r="I111">
        <v>1</v>
      </c>
      <c r="J111">
        <v>100000000</v>
      </c>
      <c r="K111">
        <f>J111*Asset_Coupon</f>
        <v>4000000</v>
      </c>
      <c r="L111">
        <v>20000000</v>
      </c>
      <c r="M111">
        <f>AVERAGE('CIR Scenarios'!I4:'CIR Scenarios'!I15)</f>
        <v>4.8777671626808343E-2</v>
      </c>
      <c r="N111">
        <v>0</v>
      </c>
      <c r="O111">
        <f>K111+L111+N111</f>
        <v>24000000</v>
      </c>
      <c r="P111">
        <f>FABN_Face*FABN_Rate</f>
        <v>3500000.0000000005</v>
      </c>
      <c r="Q111">
        <v>0</v>
      </c>
      <c r="R111">
        <f>Expenses</f>
        <v>50000</v>
      </c>
      <c r="S111">
        <f>P111+Q111+R111</f>
        <v>3550000.0000000005</v>
      </c>
      <c r="T111">
        <f>O111-S111</f>
        <v>20450000</v>
      </c>
      <c r="U111">
        <f>T111</f>
        <v>20450000</v>
      </c>
      <c r="V111">
        <f>MAX(0,-U111)</f>
        <v>0</v>
      </c>
      <c r="W111" cm="1">
        <f t="array" ref="W111">PRODUCT(1/(1+'CIR Scenarios'!I4:'CIR Scenarios'!I15/12))</f>
        <v>0.95248782079848782</v>
      </c>
      <c r="X111">
        <f>V111*W111</f>
        <v>0</v>
      </c>
    </row>
    <row r="112" spans="9:24" x14ac:dyDescent="0.2">
      <c r="I112">
        <v>2</v>
      </c>
      <c r="J112">
        <v>80000000</v>
      </c>
      <c r="K112">
        <f>J112*Asset_Coupon</f>
        <v>3200000</v>
      </c>
      <c r="L112">
        <v>20000000</v>
      </c>
      <c r="M112">
        <f>AVERAGE('CIR Scenarios'!I16:'CIR Scenarios'!I27)</f>
        <v>3.8636384467606311E-2</v>
      </c>
      <c r="N112">
        <f>IF(U111&gt;0,U111*M112,0)</f>
        <v>790114.06236254901</v>
      </c>
      <c r="O112">
        <f>K112+L112+N112</f>
        <v>23990114.062362548</v>
      </c>
      <c r="P112">
        <f>FABN_Face*FABN_Rate</f>
        <v>3500000.0000000005</v>
      </c>
      <c r="Q112">
        <v>0</v>
      </c>
      <c r="R112">
        <f>Expenses</f>
        <v>50000</v>
      </c>
      <c r="S112">
        <f>P112+Q112+R112</f>
        <v>3550000.0000000005</v>
      </c>
      <c r="T112">
        <f>O112-S112</f>
        <v>20440114.062362548</v>
      </c>
      <c r="U112">
        <f>U111+T112</f>
        <v>40890114.062362552</v>
      </c>
      <c r="V112">
        <f>MAX(0,-U112)</f>
        <v>0</v>
      </c>
      <c r="W112" cm="1">
        <f t="array" ref="W112">W111*PRODUCT(1/(1+'CIR Scenarios'!I16:'CIR Scenarios'!I27/12))</f>
        <v>0.91644641241001545</v>
      </c>
      <c r="X112">
        <f>V112*W112</f>
        <v>0</v>
      </c>
    </row>
    <row r="113" spans="9:24" x14ac:dyDescent="0.2">
      <c r="I113">
        <v>3</v>
      </c>
      <c r="J113">
        <v>60000000</v>
      </c>
      <c r="K113">
        <f>J113*Asset_Coupon</f>
        <v>2400000</v>
      </c>
      <c r="L113">
        <v>20000000</v>
      </c>
      <c r="M113">
        <f>AVERAGE('CIR Scenarios'!I28:'CIR Scenarios'!I39)</f>
        <v>3.816912289952084E-2</v>
      </c>
      <c r="N113">
        <f>IF(U112&gt;0,U112*M113,0)</f>
        <v>1560739.7890217416</v>
      </c>
      <c r="O113">
        <f>K113+L113+N113</f>
        <v>23960739.789021742</v>
      </c>
      <c r="P113">
        <f>FABN_Face*FABN_Rate</f>
        <v>3500000.0000000005</v>
      </c>
      <c r="Q113">
        <v>0</v>
      </c>
      <c r="R113">
        <f>Expenses</f>
        <v>50000</v>
      </c>
      <c r="S113">
        <f>P113+Q113+R113</f>
        <v>3550000.0000000005</v>
      </c>
      <c r="T113">
        <f>O113-S113</f>
        <v>20410739.789021742</v>
      </c>
      <c r="U113">
        <f>U112+T113</f>
        <v>61300853.851384297</v>
      </c>
      <c r="V113">
        <f>MAX(0,-U113)</f>
        <v>0</v>
      </c>
      <c r="W113" cm="1">
        <f t="array" ref="W113">W112*PRODUCT(1/(1+'CIR Scenarios'!I28:'CIR Scenarios'!I39/12))</f>
        <v>0.88217929364414116</v>
      </c>
      <c r="X113">
        <f>V113*W113</f>
        <v>0</v>
      </c>
    </row>
    <row r="114" spans="9:24" x14ac:dyDescent="0.2">
      <c r="I114">
        <v>4</v>
      </c>
      <c r="J114">
        <v>40000000</v>
      </c>
      <c r="K114">
        <f>J114*Asset_Coupon</f>
        <v>1600000</v>
      </c>
      <c r="L114">
        <v>20000000</v>
      </c>
      <c r="M114">
        <f>AVERAGE('CIR Scenarios'!I40:'CIR Scenarios'!I51)</f>
        <v>3.7077441450513483E-2</v>
      </c>
      <c r="N114">
        <f>IF(U113&gt;0,U113*M114,0)</f>
        <v>2272878.8195411852</v>
      </c>
      <c r="O114">
        <f>K114+L114+N114</f>
        <v>23872878.819541186</v>
      </c>
      <c r="P114">
        <f>FABN_Face*FABN_Rate</f>
        <v>3500000.0000000005</v>
      </c>
      <c r="Q114">
        <v>0</v>
      </c>
      <c r="R114">
        <f>Expenses</f>
        <v>50000</v>
      </c>
      <c r="S114">
        <f>P114+Q114+R114</f>
        <v>3550000.0000000005</v>
      </c>
      <c r="T114">
        <f>O114-S114</f>
        <v>20322878.819541186</v>
      </c>
      <c r="U114">
        <f>U113+T114</f>
        <v>81623732.670925483</v>
      </c>
      <c r="V114">
        <f>MAX(0,-U114)</f>
        <v>0</v>
      </c>
      <c r="W114" cm="1">
        <f t="array" ref="W114">W113*PRODUCT(1/(1+'CIR Scenarios'!I40:'CIR Scenarios'!I51/12))</f>
        <v>0.85011804473912389</v>
      </c>
      <c r="X114">
        <f>V114*W114</f>
        <v>0</v>
      </c>
    </row>
    <row r="115" spans="9:24" x14ac:dyDescent="0.2">
      <c r="I115">
        <v>5</v>
      </c>
      <c r="J115">
        <v>20000000</v>
      </c>
      <c r="K115">
        <f>J115*Asset_Coupon</f>
        <v>800000</v>
      </c>
      <c r="L115">
        <v>20000000</v>
      </c>
      <c r="M115">
        <f>AVERAGE('CIR Scenarios'!I52:'CIR Scenarios'!I63)</f>
        <v>3.0779760844941786E-2</v>
      </c>
      <c r="N115">
        <f>IF(U114&gt;0,U114*M115,0)</f>
        <v>2512358.970882548</v>
      </c>
      <c r="O115">
        <f>K115+L115+N115</f>
        <v>23312358.97088255</v>
      </c>
      <c r="P115">
        <f>FABN_Face*FABN_Rate</f>
        <v>3500000.0000000005</v>
      </c>
      <c r="Q115">
        <v>100000000</v>
      </c>
      <c r="R115">
        <f>Expenses</f>
        <v>50000</v>
      </c>
      <c r="S115">
        <f>P115+Q115+R115</f>
        <v>103550000</v>
      </c>
      <c r="T115">
        <f>O115-S115</f>
        <v>-80237641.02911745</v>
      </c>
      <c r="U115">
        <f>U114+T115</f>
        <v>1386091.641808033</v>
      </c>
      <c r="V115">
        <f>MAX(0,-U115)</f>
        <v>0</v>
      </c>
      <c r="W115" cm="1">
        <f t="array" ref="W115">W114*PRODUCT(1/(1+'CIR Scenarios'!I52:'CIR Scenarios'!I63/12))</f>
        <v>0.82438293365704252</v>
      </c>
      <c r="X115">
        <f>V115*W115</f>
        <v>0</v>
      </c>
    </row>
    <row r="116" spans="9:24" x14ac:dyDescent="0.2">
      <c r="U116">
        <f>U115</f>
        <v>1386091.641808033</v>
      </c>
      <c r="V116">
        <f>MAX(0,-U116)</f>
        <v>0</v>
      </c>
      <c r="W116">
        <f>MATCH(MAX(X111:X115),X111:X115,0)</f>
        <v>1</v>
      </c>
      <c r="X116">
        <f>MAX(X111:X115)</f>
        <v>0</v>
      </c>
    </row>
    <row r="118" spans="9:24" x14ac:dyDescent="0.2">
      <c r="I118">
        <v>1</v>
      </c>
      <c r="J118">
        <v>100000000</v>
      </c>
      <c r="K118">
        <f>J118*Asset_Coupon</f>
        <v>4000000</v>
      </c>
      <c r="L118">
        <v>20000000</v>
      </c>
      <c r="M118">
        <f>AVERAGE('CIR Scenarios'!J4:'CIR Scenarios'!J15)</f>
        <v>3.7108404140670286E-2</v>
      </c>
      <c r="N118">
        <v>0</v>
      </c>
      <c r="O118">
        <f>K118+L118+N118</f>
        <v>24000000</v>
      </c>
      <c r="P118">
        <f>FABN_Face*FABN_Rate</f>
        <v>3500000.0000000005</v>
      </c>
      <c r="Q118">
        <v>0</v>
      </c>
      <c r="R118">
        <f>Expenses</f>
        <v>50000</v>
      </c>
      <c r="S118">
        <f>P118+Q118+R118</f>
        <v>3550000.0000000005</v>
      </c>
      <c r="T118">
        <f>O118-S118</f>
        <v>20450000</v>
      </c>
      <c r="U118">
        <f>T118</f>
        <v>20450000</v>
      </c>
      <c r="V118">
        <f>MAX(0,-U118)</f>
        <v>0</v>
      </c>
      <c r="W118" cm="1">
        <f t="array" ref="W118">PRODUCT(1/(1+'CIR Scenarios'!J4:'CIR Scenarios'!J15/12))</f>
        <v>0.96362800185964759</v>
      </c>
      <c r="X118">
        <f>V118*W118</f>
        <v>0</v>
      </c>
    </row>
    <row r="119" spans="9:24" x14ac:dyDescent="0.2">
      <c r="I119">
        <v>2</v>
      </c>
      <c r="J119">
        <v>80000000</v>
      </c>
      <c r="K119">
        <f>J119*Asset_Coupon</f>
        <v>3200000</v>
      </c>
      <c r="L119">
        <v>20000000</v>
      </c>
      <c r="M119">
        <f>AVERAGE('CIR Scenarios'!J16:'CIR Scenarios'!J27)</f>
        <v>2.9049793967963661E-2</v>
      </c>
      <c r="N119">
        <f>IF(U118&gt;0,U118*M119,0)</f>
        <v>594068.28664485691</v>
      </c>
      <c r="O119">
        <f>K119+L119+N119</f>
        <v>23794068.286644857</v>
      </c>
      <c r="P119">
        <f>FABN_Face*FABN_Rate</f>
        <v>3500000.0000000005</v>
      </c>
      <c r="Q119">
        <v>0</v>
      </c>
      <c r="R119">
        <f>Expenses</f>
        <v>50000</v>
      </c>
      <c r="S119">
        <f>P119+Q119+R119</f>
        <v>3550000.0000000005</v>
      </c>
      <c r="T119">
        <f>O119-S119</f>
        <v>20244068.286644857</v>
      </c>
      <c r="U119">
        <f>U118+T119</f>
        <v>40694068.286644861</v>
      </c>
      <c r="V119">
        <f>MAX(0,-U119)</f>
        <v>0</v>
      </c>
      <c r="W119" cm="1">
        <f t="array" ref="W119">W118*PRODUCT(1/(1+'CIR Scenarios'!J16:'CIR Scenarios'!J27/12))</f>
        <v>0.93607054734759487</v>
      </c>
      <c r="X119">
        <f>V119*W119</f>
        <v>0</v>
      </c>
    </row>
    <row r="120" spans="9:24" x14ac:dyDescent="0.2">
      <c r="I120">
        <v>3</v>
      </c>
      <c r="J120">
        <v>60000000</v>
      </c>
      <c r="K120">
        <f>J120*Asset_Coupon</f>
        <v>2400000</v>
      </c>
      <c r="L120">
        <v>20000000</v>
      </c>
      <c r="M120">
        <f>AVERAGE('CIR Scenarios'!J28:'CIR Scenarios'!J39)</f>
        <v>3.8608495138923851E-2</v>
      </c>
      <c r="N120">
        <f>IF(U119&gt;0,U119*M120,0)</f>
        <v>1571136.7376279633</v>
      </c>
      <c r="O120">
        <f>K120+L120+N120</f>
        <v>23971136.737627964</v>
      </c>
      <c r="P120">
        <f>FABN_Face*FABN_Rate</f>
        <v>3500000.0000000005</v>
      </c>
      <c r="Q120">
        <v>0</v>
      </c>
      <c r="R120">
        <f>Expenses</f>
        <v>50000</v>
      </c>
      <c r="S120">
        <f>P120+Q120+R120</f>
        <v>3550000.0000000005</v>
      </c>
      <c r="T120">
        <f>O120-S120</f>
        <v>20421136.737627964</v>
      </c>
      <c r="U120">
        <f>U119+T120</f>
        <v>61115205.024272829</v>
      </c>
      <c r="V120">
        <f>MAX(0,-U120)</f>
        <v>0</v>
      </c>
      <c r="W120" cm="1">
        <f t="array" ref="W120">W119*PRODUCT(1/(1+'CIR Scenarios'!J28:'CIR Scenarios'!J39/12))</f>
        <v>0.90067514617906352</v>
      </c>
      <c r="X120">
        <f>V120*W120</f>
        <v>0</v>
      </c>
    </row>
    <row r="121" spans="9:24" x14ac:dyDescent="0.2">
      <c r="I121">
        <v>4</v>
      </c>
      <c r="J121">
        <v>40000000</v>
      </c>
      <c r="K121">
        <f>J121*Asset_Coupon</f>
        <v>1600000</v>
      </c>
      <c r="L121">
        <v>20000000</v>
      </c>
      <c r="M121">
        <f>AVERAGE('CIR Scenarios'!J40:'CIR Scenarios'!J51)</f>
        <v>4.739078445452935E-2</v>
      </c>
      <c r="N121">
        <f>IF(U120&gt;0,U120*M121,0)</f>
        <v>2896297.5081996829</v>
      </c>
      <c r="O121">
        <f>K121+L121+N121</f>
        <v>24496297.508199684</v>
      </c>
      <c r="P121">
        <f>FABN_Face*FABN_Rate</f>
        <v>3500000.0000000005</v>
      </c>
      <c r="Q121">
        <v>0</v>
      </c>
      <c r="R121">
        <f>Expenses</f>
        <v>50000</v>
      </c>
      <c r="S121">
        <f>P121+Q121+R121</f>
        <v>3550000.0000000005</v>
      </c>
      <c r="T121">
        <f>O121-S121</f>
        <v>20946297.508199684</v>
      </c>
      <c r="U121">
        <f>U120+T121</f>
        <v>82061502.532472521</v>
      </c>
      <c r="V121">
        <f>MAX(0,-U121)</f>
        <v>0</v>
      </c>
      <c r="W121" cm="1">
        <f t="array" ref="W121">W120*PRODUCT(1/(1+'CIR Scenarios'!J40:'CIR Scenarios'!J51/12))</f>
        <v>0.85906760172366947</v>
      </c>
      <c r="X121">
        <f>V121*W121</f>
        <v>0</v>
      </c>
    </row>
    <row r="122" spans="9:24" x14ac:dyDescent="0.2">
      <c r="I122">
        <v>5</v>
      </c>
      <c r="J122">
        <v>20000000</v>
      </c>
      <c r="K122">
        <f>J122*Asset_Coupon</f>
        <v>800000</v>
      </c>
      <c r="L122">
        <v>20000000</v>
      </c>
      <c r="M122">
        <f>AVERAGE('CIR Scenarios'!J52:'CIR Scenarios'!J63)</f>
        <v>5.0279765965096541E-2</v>
      </c>
      <c r="N122">
        <f>IF(U121&gt;0,U121*M122,0)</f>
        <v>4126033.1420768956</v>
      </c>
      <c r="O122">
        <f>K122+L122+N122</f>
        <v>24926033.142076895</v>
      </c>
      <c r="P122">
        <f>FABN_Face*FABN_Rate</f>
        <v>3500000.0000000005</v>
      </c>
      <c r="Q122">
        <v>100000000</v>
      </c>
      <c r="R122">
        <f>Expenses</f>
        <v>50000</v>
      </c>
      <c r="S122">
        <f>P122+Q122+R122</f>
        <v>103550000</v>
      </c>
      <c r="T122">
        <f>O122-S122</f>
        <v>-78623966.857923105</v>
      </c>
      <c r="U122">
        <f>U121+T122</f>
        <v>3437535.6745494157</v>
      </c>
      <c r="V122">
        <f>MAX(0,-U122)</f>
        <v>0</v>
      </c>
      <c r="W122" cm="1">
        <f t="array" ref="W122">W121*PRODUCT(1/(1+'CIR Scenarios'!J52:'CIR Scenarios'!J63/12))</f>
        <v>0.81702839682826522</v>
      </c>
      <c r="X122">
        <f>V122*W122</f>
        <v>0</v>
      </c>
    </row>
    <row r="123" spans="9:24" x14ac:dyDescent="0.2">
      <c r="U123">
        <f>U122</f>
        <v>3437535.6745494157</v>
      </c>
      <c r="V123">
        <f>MAX(0,-U123)</f>
        <v>0</v>
      </c>
      <c r="W123">
        <f>MATCH(MAX(X118:X122),X118:X122,0)</f>
        <v>1</v>
      </c>
      <c r="X123">
        <f>MAX(X118:X122)</f>
        <v>0</v>
      </c>
    </row>
    <row r="125" spans="9:24" x14ac:dyDescent="0.2">
      <c r="I125">
        <v>1</v>
      </c>
      <c r="J125">
        <v>100000000</v>
      </c>
      <c r="K125">
        <f>J125*Asset_Coupon</f>
        <v>4000000</v>
      </c>
      <c r="L125">
        <v>20000000</v>
      </c>
      <c r="M125">
        <f>AVERAGE('CIR Scenarios'!K4:'CIR Scenarios'!K15)</f>
        <v>4.4985421013828873E-2</v>
      </c>
      <c r="N125">
        <v>0</v>
      </c>
      <c r="O125">
        <f>K125+L125+N125</f>
        <v>24000000</v>
      </c>
      <c r="P125">
        <f>FABN_Face*FABN_Rate</f>
        <v>3500000.0000000005</v>
      </c>
      <c r="Q125">
        <v>0</v>
      </c>
      <c r="R125">
        <f>Expenses</f>
        <v>50000</v>
      </c>
      <c r="S125">
        <f>P125+Q125+R125</f>
        <v>3550000.0000000005</v>
      </c>
      <c r="T125">
        <f>O125-S125</f>
        <v>20450000</v>
      </c>
      <c r="U125">
        <f>T125</f>
        <v>20450000</v>
      </c>
      <c r="V125">
        <f>MAX(0,-U125)</f>
        <v>0</v>
      </c>
      <c r="W125" cm="1">
        <f t="array" ref="W125">PRODUCT(1/(1+'CIR Scenarios'!K4:'CIR Scenarios'!K15/12))</f>
        <v>0.95609494565629649</v>
      </c>
      <c r="X125">
        <f>V125*W125</f>
        <v>0</v>
      </c>
    </row>
    <row r="126" spans="9:24" x14ac:dyDescent="0.2">
      <c r="I126">
        <v>2</v>
      </c>
      <c r="J126">
        <v>80000000</v>
      </c>
      <c r="K126">
        <f>J126*Asset_Coupon</f>
        <v>3200000</v>
      </c>
      <c r="L126">
        <v>20000000</v>
      </c>
      <c r="M126">
        <f>AVERAGE('CIR Scenarios'!K16:'CIR Scenarios'!K27)</f>
        <v>5.5389475503560222E-2</v>
      </c>
      <c r="N126">
        <f>IF(U125&gt;0,U125*M126,0)</f>
        <v>1132714.7740478066</v>
      </c>
      <c r="O126">
        <f>K126+L126+N126</f>
        <v>24332714.774047807</v>
      </c>
      <c r="P126">
        <f>FABN_Face*FABN_Rate</f>
        <v>3500000.0000000005</v>
      </c>
      <c r="Q126">
        <v>0</v>
      </c>
      <c r="R126">
        <f>Expenses</f>
        <v>50000</v>
      </c>
      <c r="S126">
        <f>P126+Q126+R126</f>
        <v>3550000.0000000005</v>
      </c>
      <c r="T126">
        <f>O126-S126</f>
        <v>20782714.774047807</v>
      </c>
      <c r="U126">
        <f>U125+T126</f>
        <v>41232714.774047807</v>
      </c>
      <c r="V126">
        <f>MAX(0,-U126)</f>
        <v>0</v>
      </c>
      <c r="W126" cm="1">
        <f t="array" ref="W126">W125*PRODUCT(1/(1+'CIR Scenarios'!K16:'CIR Scenarios'!K27/12))</f>
        <v>0.9046933208980853</v>
      </c>
      <c r="X126">
        <f>V126*W126</f>
        <v>0</v>
      </c>
    </row>
    <row r="127" spans="9:24" x14ac:dyDescent="0.2">
      <c r="I127">
        <v>3</v>
      </c>
      <c r="J127">
        <v>60000000</v>
      </c>
      <c r="K127">
        <f>J127*Asset_Coupon</f>
        <v>2400000</v>
      </c>
      <c r="L127">
        <v>20000000</v>
      </c>
      <c r="M127">
        <f>AVERAGE('CIR Scenarios'!K28:'CIR Scenarios'!K39)</f>
        <v>5.0790832574239275E-2</v>
      </c>
      <c r="N127">
        <f>IF(U126&gt;0,U126*M127,0)</f>
        <v>2094243.9126700244</v>
      </c>
      <c r="O127">
        <f>K127+L127+N127</f>
        <v>24494243.912670024</v>
      </c>
      <c r="P127">
        <f>FABN_Face*FABN_Rate</f>
        <v>3500000.0000000005</v>
      </c>
      <c r="Q127">
        <v>0</v>
      </c>
      <c r="R127">
        <f>Expenses</f>
        <v>50000</v>
      </c>
      <c r="S127">
        <f>P127+Q127+R127</f>
        <v>3550000.0000000005</v>
      </c>
      <c r="T127">
        <f>O127-S127</f>
        <v>20944243.912670024</v>
      </c>
      <c r="U127">
        <f>U126+T127</f>
        <v>62176958.686717831</v>
      </c>
      <c r="V127">
        <f>MAX(0,-U127)</f>
        <v>0</v>
      </c>
      <c r="W127" cm="1">
        <f t="array" ref="W127">W126*PRODUCT(1/(1+'CIR Scenarios'!K28:'CIR Scenarios'!K39/12))</f>
        <v>0.85998373094424219</v>
      </c>
      <c r="X127">
        <f>V127*W127</f>
        <v>0</v>
      </c>
    </row>
    <row r="128" spans="9:24" x14ac:dyDescent="0.2">
      <c r="I128">
        <v>4</v>
      </c>
      <c r="J128">
        <v>40000000</v>
      </c>
      <c r="K128">
        <f>J128*Asset_Coupon</f>
        <v>1600000</v>
      </c>
      <c r="L128">
        <v>20000000</v>
      </c>
      <c r="M128">
        <f>AVERAGE('CIR Scenarios'!K40:'CIR Scenarios'!K51)</f>
        <v>5.8722779837437199E-2</v>
      </c>
      <c r="N128">
        <f>IF(U127&gt;0,U127*M128,0)</f>
        <v>3651203.8559215595</v>
      </c>
      <c r="O128">
        <f>K128+L128+N128</f>
        <v>25251203.855921559</v>
      </c>
      <c r="P128">
        <f>FABN_Face*FABN_Rate</f>
        <v>3500000.0000000005</v>
      </c>
      <c r="Q128">
        <v>0</v>
      </c>
      <c r="R128">
        <f>Expenses</f>
        <v>50000</v>
      </c>
      <c r="S128">
        <f>P128+Q128+R128</f>
        <v>3550000.0000000005</v>
      </c>
      <c r="T128">
        <f>O128-S128</f>
        <v>21701203.855921559</v>
      </c>
      <c r="U128">
        <f>U127+T128</f>
        <v>83878162.54263939</v>
      </c>
      <c r="V128">
        <f>MAX(0,-U128)</f>
        <v>0</v>
      </c>
      <c r="W128" cm="1">
        <f t="array" ref="W128">W127*PRODUCT(1/(1+'CIR Scenarios'!K40:'CIR Scenarios'!K51/12))</f>
        <v>0.81105410285400414</v>
      </c>
      <c r="X128">
        <f>V128*W128</f>
        <v>0</v>
      </c>
    </row>
    <row r="129" spans="9:24" x14ac:dyDescent="0.2">
      <c r="I129">
        <v>5</v>
      </c>
      <c r="J129">
        <v>20000000</v>
      </c>
      <c r="K129">
        <f>J129*Asset_Coupon</f>
        <v>800000</v>
      </c>
      <c r="L129">
        <v>20000000</v>
      </c>
      <c r="M129">
        <f>AVERAGE('CIR Scenarios'!K52:'CIR Scenarios'!K63)</f>
        <v>6.2574351615924964E-2</v>
      </c>
      <c r="N129">
        <f>IF(U128&gt;0,U128*M129,0)</f>
        <v>5248621.6358408239</v>
      </c>
      <c r="O129">
        <f>K129+L129+N129</f>
        <v>26048621.635840826</v>
      </c>
      <c r="P129">
        <f>FABN_Face*FABN_Rate</f>
        <v>3500000.0000000005</v>
      </c>
      <c r="Q129">
        <v>100000000</v>
      </c>
      <c r="R129">
        <f>Expenses</f>
        <v>50000</v>
      </c>
      <c r="S129">
        <f>P129+Q129+R129</f>
        <v>103550000</v>
      </c>
      <c r="T129">
        <f>O129-S129</f>
        <v>-77501378.364159167</v>
      </c>
      <c r="U129">
        <f>U128+T129</f>
        <v>6376784.1784802228</v>
      </c>
      <c r="V129">
        <f>MAX(0,-U129)</f>
        <v>0</v>
      </c>
      <c r="W129" cm="1">
        <f t="array" ref="W129">W128*PRODUCT(1/(1+'CIR Scenarios'!K52:'CIR Scenarios'!K63/12))</f>
        <v>0.761984371132995</v>
      </c>
      <c r="X129">
        <f>V129*W129</f>
        <v>0</v>
      </c>
    </row>
    <row r="130" spans="9:24" x14ac:dyDescent="0.2">
      <c r="U130">
        <f>U129</f>
        <v>6376784.1784802228</v>
      </c>
      <c r="V130">
        <f>MAX(0,-U130)</f>
        <v>0</v>
      </c>
      <c r="W130">
        <f>MATCH(MAX(X125:X129),X125:X129,0)</f>
        <v>1</v>
      </c>
      <c r="X130">
        <f>MAX(X125:X129)</f>
        <v>0</v>
      </c>
    </row>
    <row r="132" spans="9:24" x14ac:dyDescent="0.2">
      <c r="I132">
        <v>1</v>
      </c>
      <c r="J132">
        <v>100000000</v>
      </c>
      <c r="K132">
        <f>J132*Asset_Coupon</f>
        <v>4000000</v>
      </c>
      <c r="L132">
        <v>20000000</v>
      </c>
      <c r="M132">
        <f>AVERAGE('CIR Scenarios'!L4:'CIR Scenarios'!L15)</f>
        <v>3.6080967436031078E-2</v>
      </c>
      <c r="N132">
        <v>0</v>
      </c>
      <c r="O132">
        <f>K132+L132+N132</f>
        <v>24000000</v>
      </c>
      <c r="P132">
        <f>FABN_Face*FABN_Rate</f>
        <v>3500000.0000000005</v>
      </c>
      <c r="Q132">
        <v>0</v>
      </c>
      <c r="R132">
        <f>Expenses</f>
        <v>50000</v>
      </c>
      <c r="S132">
        <f>P132+Q132+R132</f>
        <v>3550000.0000000005</v>
      </c>
      <c r="T132">
        <f>O132-S132</f>
        <v>20450000</v>
      </c>
      <c r="U132">
        <f>T132</f>
        <v>20450000</v>
      </c>
      <c r="V132">
        <f>MAX(0,-U132)</f>
        <v>0</v>
      </c>
      <c r="W132" cm="1">
        <f t="array" ref="W132">PRODUCT(1/(1+'CIR Scenarios'!L4:'CIR Scenarios'!L15/12))</f>
        <v>0.96461491750712458</v>
      </c>
      <c r="X132">
        <f>V132*W132</f>
        <v>0</v>
      </c>
    </row>
    <row r="133" spans="9:24" x14ac:dyDescent="0.2">
      <c r="I133">
        <v>2</v>
      </c>
      <c r="J133">
        <v>80000000</v>
      </c>
      <c r="K133">
        <f>J133*Asset_Coupon</f>
        <v>3200000</v>
      </c>
      <c r="L133">
        <v>20000000</v>
      </c>
      <c r="M133">
        <f>AVERAGE('CIR Scenarios'!L16:'CIR Scenarios'!L27)</f>
        <v>3.4709655392369365E-2</v>
      </c>
      <c r="N133">
        <f>IF(U132&gt;0,U132*M133,0)</f>
        <v>709812.45277395356</v>
      </c>
      <c r="O133">
        <f>K133+L133+N133</f>
        <v>23909812.452773955</v>
      </c>
      <c r="P133">
        <f>FABN_Face*FABN_Rate</f>
        <v>3500000.0000000005</v>
      </c>
      <c r="Q133">
        <v>0</v>
      </c>
      <c r="R133">
        <f>Expenses</f>
        <v>50000</v>
      </c>
      <c r="S133">
        <f>P133+Q133+R133</f>
        <v>3550000.0000000005</v>
      </c>
      <c r="T133">
        <f>O133-S133</f>
        <v>20359812.452773955</v>
      </c>
      <c r="U133">
        <f>U132+T133</f>
        <v>40809812.452773958</v>
      </c>
      <c r="V133">
        <f>MAX(0,-U133)</f>
        <v>0</v>
      </c>
      <c r="W133" cm="1">
        <f t="array" ref="W133">W132*PRODUCT(1/(1+'CIR Scenarios'!L16:'CIR Scenarios'!L27/12))</f>
        <v>0.93175472834608075</v>
      </c>
      <c r="X133">
        <f>V133*W133</f>
        <v>0</v>
      </c>
    </row>
    <row r="134" spans="9:24" x14ac:dyDescent="0.2">
      <c r="I134">
        <v>3</v>
      </c>
      <c r="J134">
        <v>60000000</v>
      </c>
      <c r="K134">
        <f>J134*Asset_Coupon</f>
        <v>2400000</v>
      </c>
      <c r="L134">
        <v>20000000</v>
      </c>
      <c r="M134">
        <f>AVERAGE('CIR Scenarios'!L28:'CIR Scenarios'!L39)</f>
        <v>2.277502172543136E-2</v>
      </c>
      <c r="N134">
        <f>IF(U133&gt;0,U133*M134,0)</f>
        <v>929444.36522270623</v>
      </c>
      <c r="O134">
        <f>K134+L134+N134</f>
        <v>23329444.365222707</v>
      </c>
      <c r="P134">
        <f>FABN_Face*FABN_Rate</f>
        <v>3500000.0000000005</v>
      </c>
      <c r="Q134">
        <v>0</v>
      </c>
      <c r="R134">
        <f>Expenses</f>
        <v>50000</v>
      </c>
      <c r="S134">
        <f>P134+Q134+R134</f>
        <v>3550000.0000000005</v>
      </c>
      <c r="T134">
        <f>O134-S134</f>
        <v>19779444.365222707</v>
      </c>
      <c r="U134">
        <f>U133+T134</f>
        <v>60589256.817996666</v>
      </c>
      <c r="V134">
        <f>MAX(0,-U134)</f>
        <v>0</v>
      </c>
      <c r="W134" cm="1">
        <f t="array" ref="W134">W133*PRODUCT(1/(1+'CIR Scenarios'!L28:'CIR Scenarios'!L39/12))</f>
        <v>0.91079476451844965</v>
      </c>
      <c r="X134">
        <f>V134*W134</f>
        <v>0</v>
      </c>
    </row>
    <row r="135" spans="9:24" x14ac:dyDescent="0.2">
      <c r="I135">
        <v>4</v>
      </c>
      <c r="J135">
        <v>40000000</v>
      </c>
      <c r="K135">
        <f>J135*Asset_Coupon</f>
        <v>1600000</v>
      </c>
      <c r="L135">
        <v>20000000</v>
      </c>
      <c r="M135">
        <f>AVERAGE('CIR Scenarios'!L40:'CIR Scenarios'!L51)</f>
        <v>1.6040488563056048E-2</v>
      </c>
      <c r="N135">
        <f>IF(U134&gt;0,U134*M135,0)</f>
        <v>971881.28103314119</v>
      </c>
      <c r="O135">
        <f>K135+L135+N135</f>
        <v>22571881.28103314</v>
      </c>
      <c r="P135">
        <f>FABN_Face*FABN_Rate</f>
        <v>3500000.0000000005</v>
      </c>
      <c r="Q135">
        <v>0</v>
      </c>
      <c r="R135">
        <f>Expenses</f>
        <v>50000</v>
      </c>
      <c r="S135">
        <f>P135+Q135+R135</f>
        <v>3550000.0000000005</v>
      </c>
      <c r="T135">
        <f>O135-S135</f>
        <v>19021881.28103314</v>
      </c>
      <c r="U135">
        <f>U134+T135</f>
        <v>79611138.099029809</v>
      </c>
      <c r="V135">
        <f>MAX(0,-U135)</f>
        <v>0</v>
      </c>
      <c r="W135" cm="1">
        <f t="array" ref="W135">W134*PRODUCT(1/(1+'CIR Scenarios'!L40:'CIR Scenarios'!L51/12))</f>
        <v>0.89631155177165245</v>
      </c>
      <c r="X135">
        <f>V135*W135</f>
        <v>0</v>
      </c>
    </row>
    <row r="136" spans="9:24" x14ac:dyDescent="0.2">
      <c r="I136">
        <v>5</v>
      </c>
      <c r="J136">
        <v>20000000</v>
      </c>
      <c r="K136">
        <f>J136*Asset_Coupon</f>
        <v>800000</v>
      </c>
      <c r="L136">
        <v>20000000</v>
      </c>
      <c r="M136">
        <f>AVERAGE('CIR Scenarios'!L52:'CIR Scenarios'!L63)</f>
        <v>1.6813716018459272E-2</v>
      </c>
      <c r="N136">
        <f>IF(U135&gt;0,U135*M136,0)</f>
        <v>1338559.0679034307</v>
      </c>
      <c r="O136">
        <f>K136+L136+N136</f>
        <v>22138559.067903429</v>
      </c>
      <c r="P136">
        <f>FABN_Face*FABN_Rate</f>
        <v>3500000.0000000005</v>
      </c>
      <c r="Q136">
        <v>100000000</v>
      </c>
      <c r="R136">
        <f>Expenses</f>
        <v>50000</v>
      </c>
      <c r="S136">
        <f>P136+Q136+R136</f>
        <v>103550000</v>
      </c>
      <c r="T136">
        <f>O136-S136</f>
        <v>-81411440.932096571</v>
      </c>
      <c r="U136">
        <f>U135+T136</f>
        <v>-1800302.8330667615</v>
      </c>
      <c r="V136">
        <f>MAX(0,-U136)</f>
        <v>1800302.8330667615</v>
      </c>
      <c r="W136" cm="1">
        <f t="array" ref="W136">W135*PRODUCT(1/(1+'CIR Scenarios'!L52:'CIR Scenarios'!L63/12))</f>
        <v>0.88137788323652777</v>
      </c>
      <c r="X136">
        <f>V136*W136</f>
        <v>1586747.1001931063</v>
      </c>
    </row>
    <row r="137" spans="9:24" x14ac:dyDescent="0.2">
      <c r="U137">
        <f>U136</f>
        <v>-1800302.8330667615</v>
      </c>
      <c r="V137">
        <f>MAX(0,-U137)</f>
        <v>1800302.8330667615</v>
      </c>
      <c r="W137">
        <f>MATCH(MAX(X132:X136),X132:X136,0)</f>
        <v>5</v>
      </c>
      <c r="X137">
        <f>MAX(X132:X136)</f>
        <v>1586747.1001931063</v>
      </c>
    </row>
    <row r="139" spans="9:24" x14ac:dyDescent="0.2">
      <c r="I139">
        <v>1</v>
      </c>
      <c r="J139">
        <v>100000000</v>
      </c>
      <c r="K139">
        <f>J139*Asset_Coupon</f>
        <v>4000000</v>
      </c>
      <c r="L139">
        <v>20000000</v>
      </c>
      <c r="M139">
        <f>AVERAGE('CIR Scenarios'!M4:'CIR Scenarios'!M15)</f>
        <v>3.8951482011293989E-2</v>
      </c>
      <c r="N139">
        <v>0</v>
      </c>
      <c r="O139">
        <f>K139+L139+N139</f>
        <v>24000000</v>
      </c>
      <c r="P139">
        <f>FABN_Face*FABN_Rate</f>
        <v>3500000.0000000005</v>
      </c>
      <c r="Q139">
        <v>0</v>
      </c>
      <c r="R139">
        <f>Expenses</f>
        <v>50000</v>
      </c>
      <c r="S139">
        <f>P139+Q139+R139</f>
        <v>3550000.0000000005</v>
      </c>
      <c r="T139">
        <f>O139-S139</f>
        <v>20450000</v>
      </c>
      <c r="U139">
        <f>T139</f>
        <v>20450000</v>
      </c>
      <c r="V139">
        <f>MAX(0,-U139)</f>
        <v>0</v>
      </c>
      <c r="W139" cm="1">
        <f t="array" ref="W139">PRODUCT(1/(1+'CIR Scenarios'!M4:'CIR Scenarios'!M15/12))</f>
        <v>0.96185839001551765</v>
      </c>
      <c r="X139">
        <f>V139*W139</f>
        <v>0</v>
      </c>
    </row>
    <row r="140" spans="9:24" x14ac:dyDescent="0.2">
      <c r="I140">
        <v>2</v>
      </c>
      <c r="J140">
        <v>80000000</v>
      </c>
      <c r="K140">
        <f>J140*Asset_Coupon</f>
        <v>3200000</v>
      </c>
      <c r="L140">
        <v>20000000</v>
      </c>
      <c r="M140">
        <f>AVERAGE('CIR Scenarios'!M16:'CIR Scenarios'!M27)</f>
        <v>4.4762345032261792E-2</v>
      </c>
      <c r="N140">
        <f>IF(U139&gt;0,U139*M140,0)</f>
        <v>915389.95590975368</v>
      </c>
      <c r="O140">
        <f>K140+L140+N140</f>
        <v>24115389.955909755</v>
      </c>
      <c r="P140">
        <f>FABN_Face*FABN_Rate</f>
        <v>3500000.0000000005</v>
      </c>
      <c r="Q140">
        <v>0</v>
      </c>
      <c r="R140">
        <f>Expenses</f>
        <v>50000</v>
      </c>
      <c r="S140">
        <f>P140+Q140+R140</f>
        <v>3550000.0000000005</v>
      </c>
      <c r="T140">
        <f>O140-S140</f>
        <v>20565389.955909755</v>
      </c>
      <c r="U140">
        <f>U139+T140</f>
        <v>41015389.955909759</v>
      </c>
      <c r="V140">
        <f>MAX(0,-U140)</f>
        <v>0</v>
      </c>
      <c r="W140" cm="1">
        <f t="array" ref="W140">W139*PRODUCT(1/(1+'CIR Scenarios'!M16:'CIR Scenarios'!M27/12))</f>
        <v>0.91983095386895231</v>
      </c>
      <c r="X140">
        <f>V140*W140</f>
        <v>0</v>
      </c>
    </row>
    <row r="141" spans="9:24" x14ac:dyDescent="0.2">
      <c r="I141">
        <v>3</v>
      </c>
      <c r="J141">
        <v>60000000</v>
      </c>
      <c r="K141">
        <f>J141*Asset_Coupon</f>
        <v>2400000</v>
      </c>
      <c r="L141">
        <v>20000000</v>
      </c>
      <c r="M141">
        <f>AVERAGE('CIR Scenarios'!M28:'CIR Scenarios'!M39)</f>
        <v>4.3933491708030736E-2</v>
      </c>
      <c r="N141">
        <f>IF(U140&gt;0,U140*M141,0)</f>
        <v>1801949.2945296085</v>
      </c>
      <c r="O141">
        <f>K141+L141+N141</f>
        <v>24201949.294529609</v>
      </c>
      <c r="P141">
        <f>FABN_Face*FABN_Rate</f>
        <v>3500000.0000000005</v>
      </c>
      <c r="Q141">
        <v>0</v>
      </c>
      <c r="R141">
        <f>Expenses</f>
        <v>50000</v>
      </c>
      <c r="S141">
        <f>P141+Q141+R141</f>
        <v>3550000.0000000005</v>
      </c>
      <c r="T141">
        <f>O141-S141</f>
        <v>20651949.294529609</v>
      </c>
      <c r="U141">
        <f>U140+T141</f>
        <v>61667339.250439368</v>
      </c>
      <c r="V141">
        <f>MAX(0,-U141)</f>
        <v>0</v>
      </c>
      <c r="W141" cm="1">
        <f t="array" ref="W141">W140*PRODUCT(1/(1+'CIR Scenarios'!M28:'CIR Scenarios'!M39/12))</f>
        <v>0.88036659185890631</v>
      </c>
      <c r="X141">
        <f>V141*W141</f>
        <v>0</v>
      </c>
    </row>
    <row r="142" spans="9:24" x14ac:dyDescent="0.2">
      <c r="I142">
        <v>4</v>
      </c>
      <c r="J142">
        <v>40000000</v>
      </c>
      <c r="K142">
        <f>J142*Asset_Coupon</f>
        <v>1600000</v>
      </c>
      <c r="L142">
        <v>20000000</v>
      </c>
      <c r="M142">
        <f>AVERAGE('CIR Scenarios'!M40:'CIR Scenarios'!M51)</f>
        <v>2.7969834065769455E-2</v>
      </c>
      <c r="N142">
        <f>IF(U141&gt;0,U141*M142,0)</f>
        <v>1724825.2461123008</v>
      </c>
      <c r="O142">
        <f>K142+L142+N142</f>
        <v>23324825.246112302</v>
      </c>
      <c r="P142">
        <f>FABN_Face*FABN_Rate</f>
        <v>3500000.0000000005</v>
      </c>
      <c r="Q142">
        <v>0</v>
      </c>
      <c r="R142">
        <f>Expenses</f>
        <v>50000</v>
      </c>
      <c r="S142">
        <f>P142+Q142+R142</f>
        <v>3550000.0000000005</v>
      </c>
      <c r="T142">
        <f>O142-S142</f>
        <v>19774825.246112302</v>
      </c>
      <c r="U142">
        <f>U141+T142</f>
        <v>81442164.496551663</v>
      </c>
      <c r="V142">
        <f>MAX(0,-U142)</f>
        <v>0</v>
      </c>
      <c r="W142" cm="1">
        <f t="array" ref="W142">W141*PRODUCT(1/(1+'CIR Scenarios'!M40:'CIR Scenarios'!M51/12))</f>
        <v>0.85611276104659273</v>
      </c>
      <c r="X142">
        <f>V142*W142</f>
        <v>0</v>
      </c>
    </row>
    <row r="143" spans="9:24" x14ac:dyDescent="0.2">
      <c r="I143">
        <v>5</v>
      </c>
      <c r="J143">
        <v>20000000</v>
      </c>
      <c r="K143">
        <f>J143*Asset_Coupon</f>
        <v>800000</v>
      </c>
      <c r="L143">
        <v>20000000</v>
      </c>
      <c r="M143">
        <f>AVERAGE('CIR Scenarios'!M52:'CIR Scenarios'!M63)</f>
        <v>2.4912055823455129E-2</v>
      </c>
      <c r="N143">
        <f>IF(U142&gt;0,U142*M143,0)</f>
        <v>2028891.7483211104</v>
      </c>
      <c r="O143">
        <f>K143+L143+N143</f>
        <v>22828891.748321109</v>
      </c>
      <c r="P143">
        <f>FABN_Face*FABN_Rate</f>
        <v>3500000.0000000005</v>
      </c>
      <c r="Q143">
        <v>100000000</v>
      </c>
      <c r="R143">
        <f>Expenses</f>
        <v>50000</v>
      </c>
      <c r="S143">
        <f>P143+Q143+R143</f>
        <v>103550000</v>
      </c>
      <c r="T143">
        <f>O143-S143</f>
        <v>-80721108.251678884</v>
      </c>
      <c r="U143">
        <f>U142+T143</f>
        <v>721056.24487277865</v>
      </c>
      <c r="V143">
        <f>MAX(0,-U143)</f>
        <v>0</v>
      </c>
      <c r="W143" cm="1">
        <f t="array" ref="W143">W142*PRODUCT(1/(1+'CIR Scenarios'!M52:'CIR Scenarios'!M63/12))</f>
        <v>0.83507053696696976</v>
      </c>
      <c r="X143">
        <f>V143*W143</f>
        <v>0</v>
      </c>
    </row>
    <row r="144" spans="9:24" x14ac:dyDescent="0.2">
      <c r="U144">
        <f>U143</f>
        <v>721056.24487277865</v>
      </c>
      <c r="V144">
        <f>MAX(0,-U144)</f>
        <v>0</v>
      </c>
      <c r="W144">
        <f>MATCH(MAX(X139:X143),X139:X143,0)</f>
        <v>1</v>
      </c>
      <c r="X144">
        <f>MAX(X139:X143)</f>
        <v>0</v>
      </c>
    </row>
    <row r="146" spans="9:24" x14ac:dyDescent="0.2">
      <c r="I146">
        <v>1</v>
      </c>
      <c r="J146">
        <v>100000000</v>
      </c>
      <c r="K146">
        <f>J146*Asset_Coupon</f>
        <v>4000000</v>
      </c>
      <c r="L146">
        <v>20000000</v>
      </c>
      <c r="M146">
        <f>AVERAGE('CIR Scenarios'!N4:'CIR Scenarios'!N15)</f>
        <v>4.4775346932551606E-2</v>
      </c>
      <c r="N146">
        <v>0</v>
      </c>
      <c r="O146">
        <f>K146+L146+N146</f>
        <v>24000000</v>
      </c>
      <c r="P146">
        <f>FABN_Face*FABN_Rate</f>
        <v>3500000.0000000005</v>
      </c>
      <c r="Q146">
        <v>0</v>
      </c>
      <c r="R146">
        <f>Expenses</f>
        <v>50000</v>
      </c>
      <c r="S146">
        <f>P146+Q146+R146</f>
        <v>3550000.0000000005</v>
      </c>
      <c r="T146">
        <f>O146-S146</f>
        <v>20450000</v>
      </c>
      <c r="U146">
        <f>T146</f>
        <v>20450000</v>
      </c>
      <c r="V146">
        <f>MAX(0,-U146)</f>
        <v>0</v>
      </c>
      <c r="W146" cm="1">
        <f t="array" ref="W146">PRODUCT(1/(1+'CIR Scenarios'!N4:'CIR Scenarios'!N15/12))</f>
        <v>0.95629240339494048</v>
      </c>
      <c r="X146">
        <f>V146*W146</f>
        <v>0</v>
      </c>
    </row>
    <row r="147" spans="9:24" x14ac:dyDescent="0.2">
      <c r="I147">
        <v>2</v>
      </c>
      <c r="J147">
        <v>80000000</v>
      </c>
      <c r="K147">
        <f>J147*Asset_Coupon</f>
        <v>3200000</v>
      </c>
      <c r="L147">
        <v>20000000</v>
      </c>
      <c r="M147">
        <f>AVERAGE('CIR Scenarios'!N16:'CIR Scenarios'!N27)</f>
        <v>4.0040667882763802E-2</v>
      </c>
      <c r="N147">
        <f>IF(U146&gt;0,U146*M147,0)</f>
        <v>818831.65820251976</v>
      </c>
      <c r="O147">
        <f>K147+L147+N147</f>
        <v>24018831.658202522</v>
      </c>
      <c r="P147">
        <f>FABN_Face*FABN_Rate</f>
        <v>3500000.0000000005</v>
      </c>
      <c r="Q147">
        <v>0</v>
      </c>
      <c r="R147">
        <f>Expenses</f>
        <v>50000</v>
      </c>
      <c r="S147">
        <f>P147+Q147+R147</f>
        <v>3550000.0000000005</v>
      </c>
      <c r="T147">
        <f>O147-S147</f>
        <v>20468831.658202522</v>
      </c>
      <c r="U147">
        <f>U146+T147</f>
        <v>40918831.658202522</v>
      </c>
      <c r="V147">
        <f>MAX(0,-U147)</f>
        <v>0</v>
      </c>
      <c r="W147" cm="1">
        <f t="array" ref="W147">W146*PRODUCT(1/(1+'CIR Scenarios'!N16:'CIR Scenarios'!N27/12))</f>
        <v>0.91882336448629087</v>
      </c>
      <c r="X147">
        <f>V147*W147</f>
        <v>0</v>
      </c>
    </row>
    <row r="148" spans="9:24" x14ac:dyDescent="0.2">
      <c r="I148">
        <v>3</v>
      </c>
      <c r="J148">
        <v>60000000</v>
      </c>
      <c r="K148">
        <f>J148*Asset_Coupon</f>
        <v>2400000</v>
      </c>
      <c r="L148">
        <v>20000000</v>
      </c>
      <c r="M148">
        <f>AVERAGE('CIR Scenarios'!N28:'CIR Scenarios'!N39)</f>
        <v>3.628216862605458E-2</v>
      </c>
      <c r="N148">
        <f>IF(U147&gt;0,U147*M148,0)</f>
        <v>1484623.9502040443</v>
      </c>
      <c r="O148">
        <f>K148+L148+N148</f>
        <v>23884623.950204045</v>
      </c>
      <c r="P148">
        <f>FABN_Face*FABN_Rate</f>
        <v>3500000.0000000005</v>
      </c>
      <c r="Q148">
        <v>0</v>
      </c>
      <c r="R148">
        <f>Expenses</f>
        <v>50000</v>
      </c>
      <c r="S148">
        <f>P148+Q148+R148</f>
        <v>3550000.0000000005</v>
      </c>
      <c r="T148">
        <f>O148-S148</f>
        <v>20334623.950204045</v>
      </c>
      <c r="U148">
        <f>U147+T148</f>
        <v>61253455.608406566</v>
      </c>
      <c r="V148">
        <f>MAX(0,-U148)</f>
        <v>0</v>
      </c>
      <c r="W148" cm="1">
        <f t="array" ref="W148">W147*PRODUCT(1/(1+'CIR Scenarios'!N28:'CIR Scenarios'!N39/12))</f>
        <v>0.88613274182956858</v>
      </c>
      <c r="X148">
        <f>V148*W148</f>
        <v>0</v>
      </c>
    </row>
    <row r="149" spans="9:24" x14ac:dyDescent="0.2">
      <c r="I149">
        <v>4</v>
      </c>
      <c r="J149">
        <v>40000000</v>
      </c>
      <c r="K149">
        <f>J149*Asset_Coupon</f>
        <v>1600000</v>
      </c>
      <c r="L149">
        <v>20000000</v>
      </c>
      <c r="M149">
        <f>AVERAGE('CIR Scenarios'!N40:'CIR Scenarios'!N51)</f>
        <v>4.5855067320671627E-2</v>
      </c>
      <c r="N149">
        <f>IF(U148&gt;0,U148*M149,0)</f>
        <v>2808781.3305472541</v>
      </c>
      <c r="O149">
        <f>K149+L149+N149</f>
        <v>24408781.330547255</v>
      </c>
      <c r="P149">
        <f>FABN_Face*FABN_Rate</f>
        <v>3500000.0000000005</v>
      </c>
      <c r="Q149">
        <v>0</v>
      </c>
      <c r="R149">
        <f>Expenses</f>
        <v>50000</v>
      </c>
      <c r="S149">
        <f>P149+Q149+R149</f>
        <v>3550000.0000000005</v>
      </c>
      <c r="T149">
        <f>O149-S149</f>
        <v>20858781.330547255</v>
      </c>
      <c r="U149">
        <f>U148+T149</f>
        <v>82112236.938953817</v>
      </c>
      <c r="V149">
        <f>MAX(0,-U149)</f>
        <v>0</v>
      </c>
      <c r="W149" cm="1">
        <f t="array" ref="W149">W148*PRODUCT(1/(1+'CIR Scenarios'!N40:'CIR Scenarios'!N51/12))</f>
        <v>0.84649105392671387</v>
      </c>
      <c r="X149">
        <f>V149*W149</f>
        <v>0</v>
      </c>
    </row>
    <row r="150" spans="9:24" x14ac:dyDescent="0.2">
      <c r="I150">
        <v>5</v>
      </c>
      <c r="J150">
        <v>20000000</v>
      </c>
      <c r="K150">
        <f>J150*Asset_Coupon</f>
        <v>800000</v>
      </c>
      <c r="L150">
        <v>20000000</v>
      </c>
      <c r="M150">
        <f>AVERAGE('CIR Scenarios'!N52:'CIR Scenarios'!N63)</f>
        <v>4.9034223262599264E-2</v>
      </c>
      <c r="N150">
        <f>IF(U149&gt;0,U149*M150,0)</f>
        <v>4026309.758656112</v>
      </c>
      <c r="O150">
        <f>K150+L150+N150</f>
        <v>24826309.758656111</v>
      </c>
      <c r="P150">
        <f>FABN_Face*FABN_Rate</f>
        <v>3500000.0000000005</v>
      </c>
      <c r="Q150">
        <v>100000000</v>
      </c>
      <c r="R150">
        <f>Expenses</f>
        <v>50000</v>
      </c>
      <c r="S150">
        <f>P150+Q150+R150</f>
        <v>103550000</v>
      </c>
      <c r="T150">
        <f>O150-S150</f>
        <v>-78723690.241343886</v>
      </c>
      <c r="U150">
        <f>U149+T150</f>
        <v>3388546.6976099312</v>
      </c>
      <c r="V150">
        <f>MAX(0,-U150)</f>
        <v>0</v>
      </c>
      <c r="W150" cm="1">
        <f t="array" ref="W150">W149*PRODUCT(1/(1+'CIR Scenarios'!N52:'CIR Scenarios'!N63/12))</f>
        <v>0.80606590062813488</v>
      </c>
      <c r="X150">
        <f>V150*W150</f>
        <v>0</v>
      </c>
    </row>
    <row r="151" spans="9:24" x14ac:dyDescent="0.2">
      <c r="U151">
        <f>U150</f>
        <v>3388546.6976099312</v>
      </c>
      <c r="V151">
        <f>MAX(0,-U151)</f>
        <v>0</v>
      </c>
      <c r="W151">
        <f>MATCH(MAX(X146:X150),X146:X150,0)</f>
        <v>1</v>
      </c>
      <c r="X151">
        <f>MAX(X146:X150)</f>
        <v>0</v>
      </c>
    </row>
    <row r="153" spans="9:24" x14ac:dyDescent="0.2">
      <c r="I153">
        <v>1</v>
      </c>
      <c r="J153">
        <v>100000000</v>
      </c>
      <c r="K153">
        <f>J153*Asset_Coupon</f>
        <v>4000000</v>
      </c>
      <c r="L153">
        <v>20000000</v>
      </c>
      <c r="M153">
        <f>AVERAGE('CIR Scenarios'!O4:'CIR Scenarios'!O15)</f>
        <v>3.3788310437687485E-2</v>
      </c>
      <c r="N153">
        <v>0</v>
      </c>
      <c r="O153">
        <f>K153+L153+N153</f>
        <v>24000000</v>
      </c>
      <c r="P153">
        <f>FABN_Face*FABN_Rate</f>
        <v>3500000.0000000005</v>
      </c>
      <c r="Q153">
        <v>0</v>
      </c>
      <c r="R153">
        <f>Expenses</f>
        <v>50000</v>
      </c>
      <c r="S153">
        <f>P153+Q153+R153</f>
        <v>3550000.0000000005</v>
      </c>
      <c r="T153">
        <f>O153-S153</f>
        <v>20450000</v>
      </c>
      <c r="U153">
        <f>T153</f>
        <v>20450000</v>
      </c>
      <c r="V153">
        <f>MAX(0,-U153)</f>
        <v>0</v>
      </c>
      <c r="W153" cm="1">
        <f t="array" ref="W153">PRODUCT(1/(1+'CIR Scenarios'!O4:'CIR Scenarios'!O15/12))</f>
        <v>0.96682238973183543</v>
      </c>
      <c r="X153">
        <f>V153*W153</f>
        <v>0</v>
      </c>
    </row>
    <row r="154" spans="9:24" x14ac:dyDescent="0.2">
      <c r="I154">
        <v>2</v>
      </c>
      <c r="J154">
        <v>80000000</v>
      </c>
      <c r="K154">
        <f>J154*Asset_Coupon</f>
        <v>3200000</v>
      </c>
      <c r="L154">
        <v>20000000</v>
      </c>
      <c r="M154">
        <f>AVERAGE('CIR Scenarios'!O16:'CIR Scenarios'!O27)</f>
        <v>3.8623849540973171E-2</v>
      </c>
      <c r="N154">
        <f>IF(U153&gt;0,U153*M154,0)</f>
        <v>789857.72311290132</v>
      </c>
      <c r="O154">
        <f>K154+L154+N154</f>
        <v>23989857.7231129</v>
      </c>
      <c r="P154">
        <f>FABN_Face*FABN_Rate</f>
        <v>3500000.0000000005</v>
      </c>
      <c r="Q154">
        <v>0</v>
      </c>
      <c r="R154">
        <f>Expenses</f>
        <v>50000</v>
      </c>
      <c r="S154">
        <f>P154+Q154+R154</f>
        <v>3550000.0000000005</v>
      </c>
      <c r="T154">
        <f>O154-S154</f>
        <v>20439857.7231129</v>
      </c>
      <c r="U154">
        <f>U153+T154</f>
        <v>40889857.723112896</v>
      </c>
      <c r="V154">
        <f>MAX(0,-U154)</f>
        <v>0</v>
      </c>
      <c r="W154" cm="1">
        <f t="array" ref="W154">W153*PRODUCT(1/(1+'CIR Scenarios'!O16:'CIR Scenarios'!O27/12))</f>
        <v>0.93024998595479658</v>
      </c>
      <c r="X154">
        <f>V154*W154</f>
        <v>0</v>
      </c>
    </row>
    <row r="155" spans="9:24" x14ac:dyDescent="0.2">
      <c r="I155">
        <v>3</v>
      </c>
      <c r="J155">
        <v>60000000</v>
      </c>
      <c r="K155">
        <f>J155*Asset_Coupon</f>
        <v>2400000</v>
      </c>
      <c r="L155">
        <v>20000000</v>
      </c>
      <c r="M155">
        <f>AVERAGE('CIR Scenarios'!O28:'CIR Scenarios'!O39)</f>
        <v>5.0075412504460758E-2</v>
      </c>
      <c r="N155">
        <f>IF(U154&gt;0,U154*M155,0)</f>
        <v>2047576.4927335889</v>
      </c>
      <c r="O155">
        <f>K155+L155+N155</f>
        <v>24447576.49273359</v>
      </c>
      <c r="P155">
        <f>FABN_Face*FABN_Rate</f>
        <v>3500000.0000000005</v>
      </c>
      <c r="Q155">
        <v>0</v>
      </c>
      <c r="R155">
        <f>Expenses</f>
        <v>50000</v>
      </c>
      <c r="S155">
        <f>P155+Q155+R155</f>
        <v>3550000.0000000005</v>
      </c>
      <c r="T155">
        <f>O155-S155</f>
        <v>20897576.49273359</v>
      </c>
      <c r="U155">
        <f>U154+T155</f>
        <v>61787434.215846486</v>
      </c>
      <c r="V155">
        <f>MAX(0,-U155)</f>
        <v>0</v>
      </c>
      <c r="W155" cm="1">
        <f t="array" ref="W155">W154*PRODUCT(1/(1+'CIR Scenarios'!O28:'CIR Scenarios'!O39/12))</f>
        <v>0.88490775919625408</v>
      </c>
      <c r="X155">
        <f>V155*W155</f>
        <v>0</v>
      </c>
    </row>
    <row r="156" spans="9:24" x14ac:dyDescent="0.2">
      <c r="I156">
        <v>4</v>
      </c>
      <c r="J156">
        <v>40000000</v>
      </c>
      <c r="K156">
        <f>J156*Asset_Coupon</f>
        <v>1600000</v>
      </c>
      <c r="L156">
        <v>20000000</v>
      </c>
      <c r="M156">
        <f>AVERAGE('CIR Scenarios'!O40:'CIR Scenarios'!O51)</f>
        <v>3.7541831260567378E-2</v>
      </c>
      <c r="N156">
        <f>IF(U155&gt;0,U155*M156,0)</f>
        <v>2319613.4293547161</v>
      </c>
      <c r="O156">
        <f>K156+L156+N156</f>
        <v>23919613.429354716</v>
      </c>
      <c r="P156">
        <f>FABN_Face*FABN_Rate</f>
        <v>3500000.0000000005</v>
      </c>
      <c r="Q156">
        <v>0</v>
      </c>
      <c r="R156">
        <f>Expenses</f>
        <v>50000</v>
      </c>
      <c r="S156">
        <f>P156+Q156+R156</f>
        <v>3550000.0000000005</v>
      </c>
      <c r="T156">
        <f>O156-S156</f>
        <v>20369613.429354716</v>
      </c>
      <c r="U156">
        <f>U155+T156</f>
        <v>82157047.645201206</v>
      </c>
      <c r="V156">
        <f>MAX(0,-U156)</f>
        <v>0</v>
      </c>
      <c r="W156" cm="1">
        <f t="array" ref="W156">W155*PRODUCT(1/(1+'CIR Scenarios'!O40:'CIR Scenarios'!O51/12))</f>
        <v>0.85235325924486693</v>
      </c>
      <c r="X156">
        <f>V156*W156</f>
        <v>0</v>
      </c>
    </row>
    <row r="157" spans="9:24" x14ac:dyDescent="0.2">
      <c r="I157">
        <v>5</v>
      </c>
      <c r="J157">
        <v>20000000</v>
      </c>
      <c r="K157">
        <f>J157*Asset_Coupon</f>
        <v>800000</v>
      </c>
      <c r="L157">
        <v>20000000</v>
      </c>
      <c r="M157">
        <f>AVERAGE('CIR Scenarios'!O52:'CIR Scenarios'!O63)</f>
        <v>5.6163080951322976E-2</v>
      </c>
      <c r="N157">
        <f>IF(U156&gt;0,U156*M157,0)</f>
        <v>4614192.9176191343</v>
      </c>
      <c r="O157">
        <f>K157+L157+N157</f>
        <v>25414192.917619135</v>
      </c>
      <c r="P157">
        <f>FABN_Face*FABN_Rate</f>
        <v>3500000.0000000005</v>
      </c>
      <c r="Q157">
        <v>100000000</v>
      </c>
      <c r="R157">
        <f>Expenses</f>
        <v>50000</v>
      </c>
      <c r="S157">
        <f>P157+Q157+R157</f>
        <v>103550000</v>
      </c>
      <c r="T157">
        <f>O157-S157</f>
        <v>-78135807.082380861</v>
      </c>
      <c r="U157">
        <f>U156+T157</f>
        <v>4021240.5628203452</v>
      </c>
      <c r="V157">
        <f>MAX(0,-U157)</f>
        <v>0</v>
      </c>
      <c r="W157" cm="1">
        <f t="array" ref="W157">W156*PRODUCT(1/(1+'CIR Scenarios'!O52:'CIR Scenarios'!O63/12))</f>
        <v>0.8059137564856409</v>
      </c>
      <c r="X157">
        <f>V157*W157</f>
        <v>0</v>
      </c>
    </row>
    <row r="158" spans="9:24" x14ac:dyDescent="0.2">
      <c r="U158">
        <f>U157</f>
        <v>4021240.5628203452</v>
      </c>
      <c r="V158">
        <f>MAX(0,-U158)</f>
        <v>0</v>
      </c>
      <c r="W158">
        <f>MATCH(MAX(X153:X157),X153:X157,0)</f>
        <v>1</v>
      </c>
      <c r="X158">
        <f>MAX(X153:X157)</f>
        <v>0</v>
      </c>
    </row>
    <row r="160" spans="9:24" x14ac:dyDescent="0.2">
      <c r="I160">
        <v>1</v>
      </c>
      <c r="J160">
        <v>100000000</v>
      </c>
      <c r="K160">
        <f>J160*Asset_Coupon</f>
        <v>4000000</v>
      </c>
      <c r="L160">
        <v>20000000</v>
      </c>
      <c r="M160">
        <f>AVERAGE('CIR Scenarios'!P4:'CIR Scenarios'!P15)</f>
        <v>4.7696809684809827E-2</v>
      </c>
      <c r="N160">
        <v>0</v>
      </c>
      <c r="O160">
        <f>K160+L160+N160</f>
        <v>24000000</v>
      </c>
      <c r="P160">
        <f>FABN_Face*FABN_Rate</f>
        <v>3500000.0000000005</v>
      </c>
      <c r="Q160">
        <v>0</v>
      </c>
      <c r="R160">
        <f>Expenses</f>
        <v>50000</v>
      </c>
      <c r="S160">
        <f>P160+Q160+R160</f>
        <v>3550000.0000000005</v>
      </c>
      <c r="T160">
        <f>O160-S160</f>
        <v>20450000</v>
      </c>
      <c r="U160">
        <f>T160</f>
        <v>20450000</v>
      </c>
      <c r="V160">
        <f>MAX(0,-U160)</f>
        <v>0</v>
      </c>
      <c r="W160" cm="1">
        <f t="array" ref="W160">PRODUCT(1/(1+'CIR Scenarios'!P4:'CIR Scenarios'!P15/12))</f>
        <v>0.95351479673283968</v>
      </c>
      <c r="X160">
        <f>V160*W160</f>
        <v>0</v>
      </c>
    </row>
    <row r="161" spans="9:24" x14ac:dyDescent="0.2">
      <c r="I161">
        <v>2</v>
      </c>
      <c r="J161">
        <v>80000000</v>
      </c>
      <c r="K161">
        <f>J161*Asset_Coupon</f>
        <v>3200000</v>
      </c>
      <c r="L161">
        <v>20000000</v>
      </c>
      <c r="M161">
        <f>AVERAGE('CIR Scenarios'!P16:'CIR Scenarios'!P27)</f>
        <v>6.4872241759262594E-2</v>
      </c>
      <c r="N161">
        <f>IF(U160&gt;0,U160*M161,0)</f>
        <v>1326637.34397692</v>
      </c>
      <c r="O161">
        <f>K161+L161+N161</f>
        <v>24526637.343976919</v>
      </c>
      <c r="P161">
        <f>FABN_Face*FABN_Rate</f>
        <v>3500000.0000000005</v>
      </c>
      <c r="Q161">
        <v>0</v>
      </c>
      <c r="R161">
        <f>Expenses</f>
        <v>50000</v>
      </c>
      <c r="S161">
        <f>P161+Q161+R161</f>
        <v>3550000.0000000005</v>
      </c>
      <c r="T161">
        <f>O161-S161</f>
        <v>20976637.343976919</v>
      </c>
      <c r="U161">
        <f>U160+T161</f>
        <v>41426637.343976915</v>
      </c>
      <c r="V161">
        <f>MAX(0,-U161)</f>
        <v>0</v>
      </c>
      <c r="W161" cm="1">
        <f t="array" ref="W161">W160*PRODUCT(1/(1+'CIR Scenarios'!P16:'CIR Scenarios'!P27/12))</f>
        <v>0.8937788049680585</v>
      </c>
      <c r="X161">
        <f>V161*W161</f>
        <v>0</v>
      </c>
    </row>
    <row r="162" spans="9:24" x14ac:dyDescent="0.2">
      <c r="I162">
        <v>3</v>
      </c>
      <c r="J162">
        <v>60000000</v>
      </c>
      <c r="K162">
        <f>J162*Asset_Coupon</f>
        <v>2400000</v>
      </c>
      <c r="L162">
        <v>20000000</v>
      </c>
      <c r="M162">
        <f>AVERAGE('CIR Scenarios'!P28:'CIR Scenarios'!P39)</f>
        <v>6.3998155384500474E-2</v>
      </c>
      <c r="N162">
        <f>IF(U161&gt;0,U161*M162,0)</f>
        <v>2651228.3737971848</v>
      </c>
      <c r="O162">
        <f>K162+L162+N162</f>
        <v>25051228.373797186</v>
      </c>
      <c r="P162">
        <f>FABN_Face*FABN_Rate</f>
        <v>3500000.0000000005</v>
      </c>
      <c r="Q162">
        <v>0</v>
      </c>
      <c r="R162">
        <f>Expenses</f>
        <v>50000</v>
      </c>
      <c r="S162">
        <f>P162+Q162+R162</f>
        <v>3550000.0000000005</v>
      </c>
      <c r="T162">
        <f>O162-S162</f>
        <v>21501228.373797186</v>
      </c>
      <c r="U162">
        <f>U161+T162</f>
        <v>62927865.717774101</v>
      </c>
      <c r="V162">
        <f>MAX(0,-U162)</f>
        <v>0</v>
      </c>
      <c r="W162" cm="1">
        <f t="array" ref="W162">W161*PRODUCT(1/(1+'CIR Scenarios'!P28:'CIR Scenarios'!P39/12))</f>
        <v>0.83851385564368353</v>
      </c>
      <c r="X162">
        <f>V162*W162</f>
        <v>0</v>
      </c>
    </row>
    <row r="163" spans="9:24" x14ac:dyDescent="0.2">
      <c r="I163">
        <v>4</v>
      </c>
      <c r="J163">
        <v>40000000</v>
      </c>
      <c r="K163">
        <f>J163*Asset_Coupon</f>
        <v>1600000</v>
      </c>
      <c r="L163">
        <v>20000000</v>
      </c>
      <c r="M163">
        <f>AVERAGE('CIR Scenarios'!P40:'CIR Scenarios'!P51)</f>
        <v>6.7672198859006591E-2</v>
      </c>
      <c r="N163">
        <f>IF(U162&gt;0,U162*M163,0)</f>
        <v>4258467.0426260727</v>
      </c>
      <c r="O163">
        <f>K163+L163+N163</f>
        <v>25858467.042626072</v>
      </c>
      <c r="P163">
        <f>FABN_Face*FABN_Rate</f>
        <v>3500000.0000000005</v>
      </c>
      <c r="Q163">
        <v>0</v>
      </c>
      <c r="R163">
        <f>Expenses</f>
        <v>50000</v>
      </c>
      <c r="S163">
        <f>P163+Q163+R163</f>
        <v>3550000.0000000005</v>
      </c>
      <c r="T163">
        <f>O163-S163</f>
        <v>22308467.042626072</v>
      </c>
      <c r="U163">
        <f>U162+T163</f>
        <v>85236332.760400176</v>
      </c>
      <c r="V163">
        <f>MAX(0,-U163)</f>
        <v>0</v>
      </c>
      <c r="W163" cm="1">
        <f t="array" ref="W163">W162*PRODUCT(1/(1+'CIR Scenarios'!P40:'CIR Scenarios'!P51/12))</f>
        <v>0.78379639286030245</v>
      </c>
      <c r="X163">
        <f>V163*W163</f>
        <v>0</v>
      </c>
    </row>
    <row r="164" spans="9:24" x14ac:dyDescent="0.2">
      <c r="I164">
        <v>5</v>
      </c>
      <c r="J164">
        <v>20000000</v>
      </c>
      <c r="K164">
        <f>J164*Asset_Coupon</f>
        <v>800000</v>
      </c>
      <c r="L164">
        <v>20000000</v>
      </c>
      <c r="M164">
        <f>AVERAGE('CIR Scenarios'!P52:'CIR Scenarios'!P63)</f>
        <v>7.9665591836864946E-2</v>
      </c>
      <c r="N164">
        <f>IF(U163&gt;0,U163*M164,0)</f>
        <v>6790402.89536124</v>
      </c>
      <c r="O164">
        <f>K164+L164+N164</f>
        <v>27590402.895361241</v>
      </c>
      <c r="P164">
        <f>FABN_Face*FABN_Rate</f>
        <v>3500000.0000000005</v>
      </c>
      <c r="Q164">
        <v>100000000</v>
      </c>
      <c r="R164">
        <f>Expenses</f>
        <v>50000</v>
      </c>
      <c r="S164">
        <f>P164+Q164+R164</f>
        <v>103550000</v>
      </c>
      <c r="T164">
        <f>O164-S164</f>
        <v>-75959597.104638755</v>
      </c>
      <c r="U164">
        <f>U163+T164</f>
        <v>9276735.6557614207</v>
      </c>
      <c r="V164">
        <f>MAX(0,-U164)</f>
        <v>0</v>
      </c>
      <c r="W164" cm="1">
        <f t="array" ref="W164">W163*PRODUCT(1/(1+'CIR Scenarios'!P52:'CIR Scenarios'!P63/12))</f>
        <v>0.72396866046780939</v>
      </c>
      <c r="X164">
        <f>V164*W164</f>
        <v>0</v>
      </c>
    </row>
    <row r="165" spans="9:24" x14ac:dyDescent="0.2">
      <c r="U165">
        <f>U164</f>
        <v>9276735.6557614207</v>
      </c>
      <c r="V165">
        <f>MAX(0,-U165)</f>
        <v>0</v>
      </c>
      <c r="W165">
        <f>MATCH(MAX(X160:X164),X160:X164,0)</f>
        <v>1</v>
      </c>
      <c r="X165">
        <f>MAX(X160:X164)</f>
        <v>0</v>
      </c>
    </row>
    <row r="167" spans="9:24" x14ac:dyDescent="0.2">
      <c r="I167">
        <v>1</v>
      </c>
      <c r="J167">
        <v>100000000</v>
      </c>
      <c r="K167">
        <f>J167*Asset_Coupon</f>
        <v>4000000</v>
      </c>
      <c r="L167">
        <v>20000000</v>
      </c>
      <c r="M167">
        <f>AVERAGE('CIR Scenarios'!Q4:'CIR Scenarios'!Q15)</f>
        <v>3.6252782545386809E-2</v>
      </c>
      <c r="N167">
        <v>0</v>
      </c>
      <c r="O167">
        <f>K167+L167+N167</f>
        <v>24000000</v>
      </c>
      <c r="P167">
        <f>FABN_Face*FABN_Rate</f>
        <v>3500000.0000000005</v>
      </c>
      <c r="Q167">
        <v>0</v>
      </c>
      <c r="R167">
        <f>Expenses</f>
        <v>50000</v>
      </c>
      <c r="S167">
        <f>P167+Q167+R167</f>
        <v>3550000.0000000005</v>
      </c>
      <c r="T167">
        <f>O167-S167</f>
        <v>20450000</v>
      </c>
      <c r="U167">
        <f>T167</f>
        <v>20450000</v>
      </c>
      <c r="V167">
        <f>MAX(0,-U167)</f>
        <v>0</v>
      </c>
      <c r="W167" cm="1">
        <f t="array" ref="W167">PRODUCT(1/(1+'CIR Scenarios'!Q4:'CIR Scenarios'!Q15/12))</f>
        <v>0.96444928952327968</v>
      </c>
      <c r="X167">
        <f>V167*W167</f>
        <v>0</v>
      </c>
    </row>
    <row r="168" spans="9:24" x14ac:dyDescent="0.2">
      <c r="I168">
        <v>2</v>
      </c>
      <c r="J168">
        <v>80000000</v>
      </c>
      <c r="K168">
        <f>J168*Asset_Coupon</f>
        <v>3200000</v>
      </c>
      <c r="L168">
        <v>20000000</v>
      </c>
      <c r="M168">
        <f>AVERAGE('CIR Scenarios'!Q16:'CIR Scenarios'!Q27)</f>
        <v>3.3563900241601607E-2</v>
      </c>
      <c r="N168">
        <f>IF(U167&gt;0,U167*M168,0)</f>
        <v>686381.75994075288</v>
      </c>
      <c r="O168">
        <f>K168+L168+N168</f>
        <v>23886381.759940755</v>
      </c>
      <c r="P168">
        <f>FABN_Face*FABN_Rate</f>
        <v>3500000.0000000005</v>
      </c>
      <c r="Q168">
        <v>0</v>
      </c>
      <c r="R168">
        <f>Expenses</f>
        <v>50000</v>
      </c>
      <c r="S168">
        <f>P168+Q168+R168</f>
        <v>3550000.0000000005</v>
      </c>
      <c r="T168">
        <f>O168-S168</f>
        <v>20336381.759940755</v>
      </c>
      <c r="U168">
        <f>U167+T168</f>
        <v>40786381.759940758</v>
      </c>
      <c r="V168">
        <f>MAX(0,-U168)</f>
        <v>0</v>
      </c>
      <c r="W168" cm="1">
        <f t="array" ref="W168">W167*PRODUCT(1/(1+'CIR Scenarios'!Q16:'CIR Scenarios'!Q27/12))</f>
        <v>0.93266081355685182</v>
      </c>
      <c r="X168">
        <f>V168*W168</f>
        <v>0</v>
      </c>
    </row>
    <row r="169" spans="9:24" x14ac:dyDescent="0.2">
      <c r="I169">
        <v>3</v>
      </c>
      <c r="J169">
        <v>60000000</v>
      </c>
      <c r="K169">
        <f>J169*Asset_Coupon</f>
        <v>2400000</v>
      </c>
      <c r="L169">
        <v>20000000</v>
      </c>
      <c r="M169">
        <f>AVERAGE('CIR Scenarios'!Q28:'CIR Scenarios'!Q39)</f>
        <v>2.330323025571009E-2</v>
      </c>
      <c r="N169">
        <f>IF(U168&gt;0,U168*M169,0)</f>
        <v>950454.44544919359</v>
      </c>
      <c r="O169">
        <f>K169+L169+N169</f>
        <v>23350454.445449192</v>
      </c>
      <c r="P169">
        <f>FABN_Face*FABN_Rate</f>
        <v>3500000.0000000005</v>
      </c>
      <c r="Q169">
        <v>0</v>
      </c>
      <c r="R169">
        <f>Expenses</f>
        <v>50000</v>
      </c>
      <c r="S169">
        <f>P169+Q169+R169</f>
        <v>3550000.0000000005</v>
      </c>
      <c r="T169">
        <f>O169-S169</f>
        <v>19800454.445449192</v>
      </c>
      <c r="U169">
        <f>U168+T169</f>
        <v>60586836.205389947</v>
      </c>
      <c r="V169">
        <f>MAX(0,-U169)</f>
        <v>0</v>
      </c>
      <c r="W169" cm="1">
        <f t="array" ref="W169">W168*PRODUCT(1/(1+'CIR Scenarios'!Q28:'CIR Scenarios'!Q39/12))</f>
        <v>0.91119944134752429</v>
      </c>
      <c r="X169">
        <f>V169*W169</f>
        <v>0</v>
      </c>
    </row>
    <row r="170" spans="9:24" x14ac:dyDescent="0.2">
      <c r="I170">
        <v>4</v>
      </c>
      <c r="J170">
        <v>40000000</v>
      </c>
      <c r="K170">
        <f>J170*Asset_Coupon</f>
        <v>1600000</v>
      </c>
      <c r="L170">
        <v>20000000</v>
      </c>
      <c r="M170">
        <f>AVERAGE('CIR Scenarios'!Q40:'CIR Scenarios'!Q51)</f>
        <v>2.4216832374781016E-2</v>
      </c>
      <c r="N170">
        <f>IF(U169&gt;0,U169*M170,0)</f>
        <v>1467221.2565042418</v>
      </c>
      <c r="O170">
        <f>K170+L170+N170</f>
        <v>23067221.256504241</v>
      </c>
      <c r="P170">
        <f>FABN_Face*FABN_Rate</f>
        <v>3500000.0000000005</v>
      </c>
      <c r="Q170">
        <v>0</v>
      </c>
      <c r="R170">
        <f>Expenses</f>
        <v>50000</v>
      </c>
      <c r="S170">
        <f>P170+Q170+R170</f>
        <v>3550000.0000000005</v>
      </c>
      <c r="T170">
        <f>O170-S170</f>
        <v>19517221.256504241</v>
      </c>
      <c r="U170">
        <f>U169+T170</f>
        <v>80104057.461894184</v>
      </c>
      <c r="V170">
        <f>MAX(0,-U170)</f>
        <v>0</v>
      </c>
      <c r="W170" cm="1">
        <f t="array" ref="W170">W169*PRODUCT(1/(1+'CIR Scenarios'!Q40:'CIR Scenarios'!Q51/12))</f>
        <v>0.88942041336048538</v>
      </c>
      <c r="X170">
        <f>V170*W170</f>
        <v>0</v>
      </c>
    </row>
    <row r="171" spans="9:24" x14ac:dyDescent="0.2">
      <c r="I171">
        <v>5</v>
      </c>
      <c r="J171">
        <v>20000000</v>
      </c>
      <c r="K171">
        <f>J171*Asset_Coupon</f>
        <v>800000</v>
      </c>
      <c r="L171">
        <v>20000000</v>
      </c>
      <c r="M171">
        <f>AVERAGE('CIR Scenarios'!Q52:'CIR Scenarios'!Q63)</f>
        <v>4.2492650331383136E-2</v>
      </c>
      <c r="N171">
        <f>IF(U170&gt;0,U170*M171,0)</f>
        <v>3403833.7038532915</v>
      </c>
      <c r="O171">
        <f>K171+L171+N171</f>
        <v>24203833.703853291</v>
      </c>
      <c r="P171">
        <f>FABN_Face*FABN_Rate</f>
        <v>3500000.0000000005</v>
      </c>
      <c r="Q171">
        <v>100000000</v>
      </c>
      <c r="R171">
        <f>Expenses</f>
        <v>50000</v>
      </c>
      <c r="S171">
        <f>P171+Q171+R171</f>
        <v>103550000</v>
      </c>
      <c r="T171">
        <f>O171-S171</f>
        <v>-79346166.296146706</v>
      </c>
      <c r="U171">
        <f>U170+T171</f>
        <v>757891.1657474786</v>
      </c>
      <c r="V171">
        <f>MAX(0,-U171)</f>
        <v>0</v>
      </c>
      <c r="W171" cm="1">
        <f t="array" ref="W171">W170*PRODUCT(1/(1+'CIR Scenarios'!Q52:'CIR Scenarios'!Q63/12))</f>
        <v>0.85248435448997006</v>
      </c>
      <c r="X171">
        <f>V171*W171</f>
        <v>0</v>
      </c>
    </row>
    <row r="172" spans="9:24" x14ac:dyDescent="0.2">
      <c r="U172">
        <f>U171</f>
        <v>757891.1657474786</v>
      </c>
      <c r="V172">
        <f>MAX(0,-U172)</f>
        <v>0</v>
      </c>
      <c r="W172">
        <f>MATCH(MAX(X167:X171),X167:X171,0)</f>
        <v>1</v>
      </c>
      <c r="X172">
        <f>MAX(X167:X171)</f>
        <v>0</v>
      </c>
    </row>
    <row r="174" spans="9:24" x14ac:dyDescent="0.2">
      <c r="I174">
        <v>1</v>
      </c>
      <c r="J174">
        <v>100000000</v>
      </c>
      <c r="K174">
        <f>J174*Asset_Coupon</f>
        <v>4000000</v>
      </c>
      <c r="L174">
        <v>20000000</v>
      </c>
      <c r="M174">
        <f>AVERAGE('CIR Scenarios'!R4:'CIR Scenarios'!R15)</f>
        <v>4.0394813488713099E-2</v>
      </c>
      <c r="N174">
        <v>0</v>
      </c>
      <c r="O174">
        <f>K174+L174+N174</f>
        <v>24000000</v>
      </c>
      <c r="P174">
        <f>FABN_Face*FABN_Rate</f>
        <v>3500000.0000000005</v>
      </c>
      <c r="Q174">
        <v>0</v>
      </c>
      <c r="R174">
        <f>Expenses</f>
        <v>50000</v>
      </c>
      <c r="S174">
        <f>P174+Q174+R174</f>
        <v>3550000.0000000005</v>
      </c>
      <c r="T174">
        <f>O174-S174</f>
        <v>20450000</v>
      </c>
      <c r="U174">
        <f>T174</f>
        <v>20450000</v>
      </c>
      <c r="V174">
        <f>MAX(0,-U174)</f>
        <v>0</v>
      </c>
      <c r="W174" cm="1">
        <f t="array" ref="W174">PRODUCT(1/(1+'CIR Scenarios'!R4:'CIR Scenarios'!R15/12))</f>
        <v>0.96047557916598114</v>
      </c>
      <c r="X174">
        <f>V174*W174</f>
        <v>0</v>
      </c>
    </row>
    <row r="175" spans="9:24" x14ac:dyDescent="0.2">
      <c r="I175">
        <v>2</v>
      </c>
      <c r="J175">
        <v>80000000</v>
      </c>
      <c r="K175">
        <f>J175*Asset_Coupon</f>
        <v>3200000</v>
      </c>
      <c r="L175">
        <v>20000000</v>
      </c>
      <c r="M175">
        <f>AVERAGE('CIR Scenarios'!R16:'CIR Scenarios'!R27)</f>
        <v>3.2437100789392805E-2</v>
      </c>
      <c r="N175">
        <f>IF(U174&gt;0,U174*M175,0)</f>
        <v>663338.71114308282</v>
      </c>
      <c r="O175">
        <f>K175+L175+N175</f>
        <v>23863338.711143084</v>
      </c>
      <c r="P175">
        <f>FABN_Face*FABN_Rate</f>
        <v>3500000.0000000005</v>
      </c>
      <c r="Q175">
        <v>0</v>
      </c>
      <c r="R175">
        <f>Expenses</f>
        <v>50000</v>
      </c>
      <c r="S175">
        <f>P175+Q175+R175</f>
        <v>3550000.0000000005</v>
      </c>
      <c r="T175">
        <f>O175-S175</f>
        <v>20313338.711143084</v>
      </c>
      <c r="U175">
        <f>U174+T175</f>
        <v>40763338.711143084</v>
      </c>
      <c r="V175">
        <f>MAX(0,-U175)</f>
        <v>0</v>
      </c>
      <c r="W175" cm="1">
        <f t="array" ref="W175">W174*PRODUCT(1/(1+'CIR Scenarios'!R16:'CIR Scenarios'!R27/12))</f>
        <v>0.9298614021333268</v>
      </c>
      <c r="X175">
        <f>V175*W175</f>
        <v>0</v>
      </c>
    </row>
    <row r="176" spans="9:24" x14ac:dyDescent="0.2">
      <c r="I176">
        <v>3</v>
      </c>
      <c r="J176">
        <v>60000000</v>
      </c>
      <c r="K176">
        <f>J176*Asset_Coupon</f>
        <v>2400000</v>
      </c>
      <c r="L176">
        <v>20000000</v>
      </c>
      <c r="M176">
        <f>AVERAGE('CIR Scenarios'!R28:'CIR Scenarios'!R39)</f>
        <v>3.0794836244719171E-2</v>
      </c>
      <c r="N176">
        <f>IF(U175&gt;0,U175*M176,0)</f>
        <v>1255300.3403976732</v>
      </c>
      <c r="O176">
        <f>K176+L176+N176</f>
        <v>23655300.340397675</v>
      </c>
      <c r="P176">
        <f>FABN_Face*FABN_Rate</f>
        <v>3500000.0000000005</v>
      </c>
      <c r="Q176">
        <v>0</v>
      </c>
      <c r="R176">
        <f>Expenses</f>
        <v>50000</v>
      </c>
      <c r="S176">
        <f>P176+Q176+R176</f>
        <v>3550000.0000000005</v>
      </c>
      <c r="T176">
        <f>O176-S176</f>
        <v>20105300.340397675</v>
      </c>
      <c r="U176">
        <f>U175+T176</f>
        <v>60868639.051540762</v>
      </c>
      <c r="V176">
        <f>MAX(0,-U176)</f>
        <v>0</v>
      </c>
      <c r="W176" cm="1">
        <f t="array" ref="W176">W175*PRODUCT(1/(1+'CIR Scenarios'!R28:'CIR Scenarios'!R39/12))</f>
        <v>0.90169882542719215</v>
      </c>
      <c r="X176">
        <f>V176*W176</f>
        <v>0</v>
      </c>
    </row>
    <row r="177" spans="9:24" x14ac:dyDescent="0.2">
      <c r="I177">
        <v>4</v>
      </c>
      <c r="J177">
        <v>40000000</v>
      </c>
      <c r="K177">
        <f>J177*Asset_Coupon</f>
        <v>1600000</v>
      </c>
      <c r="L177">
        <v>20000000</v>
      </c>
      <c r="M177">
        <f>AVERAGE('CIR Scenarios'!R40:'CIR Scenarios'!R51)</f>
        <v>4.6284539114724722E-2</v>
      </c>
      <c r="N177">
        <f>IF(U176&gt;0,U176*M177,0)</f>
        <v>2817276.9050410991</v>
      </c>
      <c r="O177">
        <f>K177+L177+N177</f>
        <v>24417276.905041099</v>
      </c>
      <c r="P177">
        <f>FABN_Face*FABN_Rate</f>
        <v>3500000.0000000005</v>
      </c>
      <c r="Q177">
        <v>0</v>
      </c>
      <c r="R177">
        <f>Expenses</f>
        <v>50000</v>
      </c>
      <c r="S177">
        <f>P177+Q177+R177</f>
        <v>3550000.0000000005</v>
      </c>
      <c r="T177">
        <f>O177-S177</f>
        <v>20867276.905041099</v>
      </c>
      <c r="U177">
        <f>U176+T177</f>
        <v>81735915.956581861</v>
      </c>
      <c r="V177">
        <f>MAX(0,-U177)</f>
        <v>0</v>
      </c>
      <c r="W177" cm="1">
        <f t="array" ref="W177">W176*PRODUCT(1/(1+'CIR Scenarios'!R40:'CIR Scenarios'!R51/12))</f>
        <v>0.86099471172483399</v>
      </c>
      <c r="X177">
        <f>V177*W177</f>
        <v>0</v>
      </c>
    </row>
    <row r="178" spans="9:24" x14ac:dyDescent="0.2">
      <c r="I178">
        <v>5</v>
      </c>
      <c r="J178">
        <v>20000000</v>
      </c>
      <c r="K178">
        <f>J178*Asset_Coupon</f>
        <v>800000</v>
      </c>
      <c r="L178">
        <v>20000000</v>
      </c>
      <c r="M178">
        <f>AVERAGE('CIR Scenarios'!R52:'CIR Scenarios'!R63)</f>
        <v>6.297209793271559E-2</v>
      </c>
      <c r="N178">
        <f>IF(U177&gt;0,U177*M178,0)</f>
        <v>5147082.1042380836</v>
      </c>
      <c r="O178">
        <f>K178+L178+N178</f>
        <v>25947082.104238085</v>
      </c>
      <c r="P178">
        <f>FABN_Face*FABN_Rate</f>
        <v>3500000.0000000005</v>
      </c>
      <c r="Q178">
        <v>100000000</v>
      </c>
      <c r="R178">
        <f>Expenses</f>
        <v>50000</v>
      </c>
      <c r="S178">
        <f>P178+Q178+R178</f>
        <v>103550000</v>
      </c>
      <c r="T178">
        <f>O178-S178</f>
        <v>-77602917.895761907</v>
      </c>
      <c r="U178">
        <f>U177+T178</f>
        <v>4132998.0608199537</v>
      </c>
      <c r="V178">
        <f>MAX(0,-U178)</f>
        <v>0</v>
      </c>
      <c r="W178" cm="1">
        <f t="array" ref="W178">W177*PRODUCT(1/(1+'CIR Scenarios'!R52:'CIR Scenarios'!R63/12))</f>
        <v>0.80858149621062092</v>
      </c>
      <c r="X178">
        <f>V178*W178</f>
        <v>0</v>
      </c>
    </row>
    <row r="179" spans="9:24" x14ac:dyDescent="0.2">
      <c r="U179">
        <f>U178</f>
        <v>4132998.0608199537</v>
      </c>
      <c r="V179">
        <f>MAX(0,-U179)</f>
        <v>0</v>
      </c>
      <c r="W179">
        <f>MATCH(MAX(X174:X178),X174:X178,0)</f>
        <v>1</v>
      </c>
      <c r="X179">
        <f>MAX(X174:X178)</f>
        <v>0</v>
      </c>
    </row>
    <row r="181" spans="9:24" x14ac:dyDescent="0.2">
      <c r="I181">
        <v>1</v>
      </c>
      <c r="J181">
        <v>100000000</v>
      </c>
      <c r="K181">
        <f>J181*Asset_Coupon</f>
        <v>4000000</v>
      </c>
      <c r="L181">
        <v>20000000</v>
      </c>
      <c r="M181">
        <f>AVERAGE('CIR Scenarios'!S4:'CIR Scenarios'!S15)</f>
        <v>4.0447745898463262E-2</v>
      </c>
      <c r="N181">
        <v>0</v>
      </c>
      <c r="O181">
        <f>K181+L181+N181</f>
        <v>24000000</v>
      </c>
      <c r="P181">
        <f>FABN_Face*FABN_Rate</f>
        <v>3500000.0000000005</v>
      </c>
      <c r="Q181">
        <v>0</v>
      </c>
      <c r="R181">
        <f>Expenses</f>
        <v>50000</v>
      </c>
      <c r="S181">
        <f>P181+Q181+R181</f>
        <v>3550000.0000000005</v>
      </c>
      <c r="T181">
        <f>O181-S181</f>
        <v>20450000</v>
      </c>
      <c r="U181">
        <f>T181</f>
        <v>20450000</v>
      </c>
      <c r="V181">
        <f>MAX(0,-U181)</f>
        <v>0</v>
      </c>
      <c r="W181" cm="1">
        <f t="array" ref="W181">PRODUCT(1/(1+'CIR Scenarios'!S4:'CIR Scenarios'!S15/12))</f>
        <v>0.96042506237303849</v>
      </c>
      <c r="X181">
        <f>V181*W181</f>
        <v>0</v>
      </c>
    </row>
    <row r="182" spans="9:24" x14ac:dyDescent="0.2">
      <c r="I182">
        <v>2</v>
      </c>
      <c r="J182">
        <v>80000000</v>
      </c>
      <c r="K182">
        <f>J182*Asset_Coupon</f>
        <v>3200000</v>
      </c>
      <c r="L182">
        <v>20000000</v>
      </c>
      <c r="M182">
        <f>AVERAGE('CIR Scenarios'!S16:'CIR Scenarios'!S27)</f>
        <v>3.5148969872157446E-2</v>
      </c>
      <c r="N182">
        <f>IF(U181&gt;0,U181*M182,0)</f>
        <v>718796.43388561974</v>
      </c>
      <c r="O182">
        <f>K182+L182+N182</f>
        <v>23918796.433885619</v>
      </c>
      <c r="P182">
        <f>FABN_Face*FABN_Rate</f>
        <v>3500000.0000000005</v>
      </c>
      <c r="Q182">
        <v>0</v>
      </c>
      <c r="R182">
        <f>Expenses</f>
        <v>50000</v>
      </c>
      <c r="S182">
        <f>P182+Q182+R182</f>
        <v>3550000.0000000005</v>
      </c>
      <c r="T182">
        <f>O182-S182</f>
        <v>20368796.433885619</v>
      </c>
      <c r="U182">
        <f>U181+T182</f>
        <v>40818796.433885619</v>
      </c>
      <c r="V182">
        <f>MAX(0,-U182)</f>
        <v>0</v>
      </c>
      <c r="W182" cm="1">
        <f t="array" ref="W182">W181*PRODUCT(1/(1+'CIR Scenarios'!S16:'CIR Scenarios'!S27/12))</f>
        <v>0.92730268069847677</v>
      </c>
      <c r="X182">
        <f>V182*W182</f>
        <v>0</v>
      </c>
    </row>
    <row r="183" spans="9:24" x14ac:dyDescent="0.2">
      <c r="I183">
        <v>3</v>
      </c>
      <c r="J183">
        <v>60000000</v>
      </c>
      <c r="K183">
        <f>J183*Asset_Coupon</f>
        <v>2400000</v>
      </c>
      <c r="L183">
        <v>20000000</v>
      </c>
      <c r="M183">
        <f>AVERAGE('CIR Scenarios'!S28:'CIR Scenarios'!S39)</f>
        <v>2.5829319785982633E-2</v>
      </c>
      <c r="N183">
        <f>IF(U182&gt;0,U182*M183,0)</f>
        <v>1054321.7463697591</v>
      </c>
      <c r="O183">
        <f>K183+L183+N183</f>
        <v>23454321.74636976</v>
      </c>
      <c r="P183">
        <f>FABN_Face*FABN_Rate</f>
        <v>3500000.0000000005</v>
      </c>
      <c r="Q183">
        <v>0</v>
      </c>
      <c r="R183">
        <f>Expenses</f>
        <v>50000</v>
      </c>
      <c r="S183">
        <f>P183+Q183+R183</f>
        <v>3550000.0000000005</v>
      </c>
      <c r="T183">
        <f>O183-S183</f>
        <v>19904321.74636976</v>
      </c>
      <c r="U183">
        <f>U182+T183</f>
        <v>60723118.180255383</v>
      </c>
      <c r="V183">
        <f>MAX(0,-U183)</f>
        <v>0</v>
      </c>
      <c r="W183" cm="1">
        <f t="array" ref="W183">W182*PRODUCT(1/(1+'CIR Scenarios'!S28:'CIR Scenarios'!S39/12))</f>
        <v>0.90368302172640069</v>
      </c>
      <c r="X183">
        <f>V183*W183</f>
        <v>0</v>
      </c>
    </row>
    <row r="184" spans="9:24" x14ac:dyDescent="0.2">
      <c r="I184">
        <v>4</v>
      </c>
      <c r="J184">
        <v>40000000</v>
      </c>
      <c r="K184">
        <f>J184*Asset_Coupon</f>
        <v>1600000</v>
      </c>
      <c r="L184">
        <v>20000000</v>
      </c>
      <c r="M184">
        <f>AVERAGE('CIR Scenarios'!S40:'CIR Scenarios'!S51)</f>
        <v>3.4284693516665472E-2</v>
      </c>
      <c r="N184">
        <f>IF(U183&gt;0,U183*M184,0)</f>
        <v>2081873.496186313</v>
      </c>
      <c r="O184">
        <f>K184+L184+N184</f>
        <v>23681873.496186312</v>
      </c>
      <c r="P184">
        <f>FABN_Face*FABN_Rate</f>
        <v>3500000.0000000005</v>
      </c>
      <c r="Q184">
        <v>0</v>
      </c>
      <c r="R184">
        <f>Expenses</f>
        <v>50000</v>
      </c>
      <c r="S184">
        <f>P184+Q184+R184</f>
        <v>3550000.0000000005</v>
      </c>
      <c r="T184">
        <f>O184-S184</f>
        <v>20131873.496186312</v>
      </c>
      <c r="U184">
        <f>U183+T184</f>
        <v>80854991.676441699</v>
      </c>
      <c r="V184">
        <f>MAX(0,-U184)</f>
        <v>0</v>
      </c>
      <c r="W184" cm="1">
        <f t="array" ref="W184">W183*PRODUCT(1/(1+'CIR Scenarios'!S40:'CIR Scenarios'!S51/12))</f>
        <v>0.87326873493937185</v>
      </c>
      <c r="X184">
        <f>V184*W184</f>
        <v>0</v>
      </c>
    </row>
    <row r="185" spans="9:24" x14ac:dyDescent="0.2">
      <c r="I185">
        <v>5</v>
      </c>
      <c r="J185">
        <v>20000000</v>
      </c>
      <c r="K185">
        <f>J185*Asset_Coupon</f>
        <v>800000</v>
      </c>
      <c r="L185">
        <v>20000000</v>
      </c>
      <c r="M185">
        <f>AVERAGE('CIR Scenarios'!S52:'CIR Scenarios'!S63)</f>
        <v>2.5227737281696288E-2</v>
      </c>
      <c r="N185">
        <f>IF(U184&gt;0,U184*M185,0)</f>
        <v>2039788.4879270112</v>
      </c>
      <c r="O185">
        <f>K185+L185+N185</f>
        <v>22839788.487927012</v>
      </c>
      <c r="P185">
        <f>FABN_Face*FABN_Rate</f>
        <v>3500000.0000000005</v>
      </c>
      <c r="Q185">
        <v>100000000</v>
      </c>
      <c r="R185">
        <f>Expenses</f>
        <v>50000</v>
      </c>
      <c r="S185">
        <f>P185+Q185+R185</f>
        <v>103550000</v>
      </c>
      <c r="T185">
        <f>O185-S185</f>
        <v>-80710211.51207298</v>
      </c>
      <c r="U185">
        <f>U184+T185</f>
        <v>144780.16436871886</v>
      </c>
      <c r="V185">
        <f>MAX(0,-U185)</f>
        <v>0</v>
      </c>
      <c r="W185" cm="1">
        <f t="array" ref="W185">W184*PRODUCT(1/(1+'CIR Scenarios'!S52:'CIR Scenarios'!S63/12))</f>
        <v>0.8515365210318373</v>
      </c>
      <c r="X185">
        <f>V185*W185</f>
        <v>0</v>
      </c>
    </row>
    <row r="186" spans="9:24" x14ac:dyDescent="0.2">
      <c r="U186">
        <f>U185</f>
        <v>144780.16436871886</v>
      </c>
      <c r="V186">
        <f>MAX(0,-U186)</f>
        <v>0</v>
      </c>
      <c r="W186">
        <f>MATCH(MAX(X181:X185),X181:X185,0)</f>
        <v>1</v>
      </c>
      <c r="X186">
        <f>MAX(X181:X185)</f>
        <v>0</v>
      </c>
    </row>
    <row r="188" spans="9:24" x14ac:dyDescent="0.2">
      <c r="I188">
        <v>1</v>
      </c>
      <c r="J188">
        <v>100000000</v>
      </c>
      <c r="K188">
        <f>J188*Asset_Coupon</f>
        <v>4000000</v>
      </c>
      <c r="L188">
        <v>20000000</v>
      </c>
      <c r="M188">
        <f>AVERAGE('CIR Scenarios'!T4:'CIR Scenarios'!T15)</f>
        <v>3.7915095144502801E-2</v>
      </c>
      <c r="N188">
        <v>0</v>
      </c>
      <c r="O188">
        <f>K188+L188+N188</f>
        <v>24000000</v>
      </c>
      <c r="P188">
        <f>FABN_Face*FABN_Rate</f>
        <v>3500000.0000000005</v>
      </c>
      <c r="Q188">
        <v>0</v>
      </c>
      <c r="R188">
        <f>Expenses</f>
        <v>50000</v>
      </c>
      <c r="S188">
        <f>P188+Q188+R188</f>
        <v>3550000.0000000005</v>
      </c>
      <c r="T188">
        <f>O188-S188</f>
        <v>20450000</v>
      </c>
      <c r="U188">
        <f>T188</f>
        <v>20450000</v>
      </c>
      <c r="V188">
        <f>MAX(0,-U188)</f>
        <v>0</v>
      </c>
      <c r="W188" cm="1">
        <f t="array" ref="W188">PRODUCT(1/(1+'CIR Scenarios'!T4:'CIR Scenarios'!T15/12))</f>
        <v>0.9628537770077602</v>
      </c>
      <c r="X188">
        <f>V188*W188</f>
        <v>0</v>
      </c>
    </row>
    <row r="189" spans="9:24" x14ac:dyDescent="0.2">
      <c r="I189">
        <v>2</v>
      </c>
      <c r="J189">
        <v>80000000</v>
      </c>
      <c r="K189">
        <f>J189*Asset_Coupon</f>
        <v>3200000</v>
      </c>
      <c r="L189">
        <v>20000000</v>
      </c>
      <c r="M189">
        <f>AVERAGE('CIR Scenarios'!T16:'CIR Scenarios'!T27)</f>
        <v>3.3362377352626198E-2</v>
      </c>
      <c r="N189">
        <f>IF(U188&gt;0,U188*M189,0)</f>
        <v>682260.61686120578</v>
      </c>
      <c r="O189">
        <f>K189+L189+N189</f>
        <v>23882260.616861206</v>
      </c>
      <c r="P189">
        <f>FABN_Face*FABN_Rate</f>
        <v>3500000.0000000005</v>
      </c>
      <c r="Q189">
        <v>0</v>
      </c>
      <c r="R189">
        <f>Expenses</f>
        <v>50000</v>
      </c>
      <c r="S189">
        <f>P189+Q189+R189</f>
        <v>3550000.0000000005</v>
      </c>
      <c r="T189">
        <f>O189-S189</f>
        <v>20332260.616861206</v>
      </c>
      <c r="U189">
        <f>U188+T189</f>
        <v>40782260.616861209</v>
      </c>
      <c r="V189">
        <f>MAX(0,-U189)</f>
        <v>0</v>
      </c>
      <c r="W189" cm="1">
        <f t="array" ref="W189">W188*PRODUCT(1/(1+'CIR Scenarios'!T16:'CIR Scenarios'!T27/12))</f>
        <v>0.93130404224420482</v>
      </c>
      <c r="X189">
        <f>V189*W189</f>
        <v>0</v>
      </c>
    </row>
    <row r="190" spans="9:24" x14ac:dyDescent="0.2">
      <c r="I190">
        <v>3</v>
      </c>
      <c r="J190">
        <v>60000000</v>
      </c>
      <c r="K190">
        <f>J190*Asset_Coupon</f>
        <v>2400000</v>
      </c>
      <c r="L190">
        <v>20000000</v>
      </c>
      <c r="M190">
        <f>AVERAGE('CIR Scenarios'!T28:'CIR Scenarios'!T39)</f>
        <v>3.5570874083277942E-2</v>
      </c>
      <c r="N190">
        <f>IF(U189&gt;0,U189*M190,0)</f>
        <v>1450660.6572337952</v>
      </c>
      <c r="O190">
        <f>K190+L190+N190</f>
        <v>23850660.657233797</v>
      </c>
      <c r="P190">
        <f>FABN_Face*FABN_Rate</f>
        <v>3500000.0000000005</v>
      </c>
      <c r="Q190">
        <v>0</v>
      </c>
      <c r="R190">
        <f>Expenses</f>
        <v>50000</v>
      </c>
      <c r="S190">
        <f>P190+Q190+R190</f>
        <v>3550000.0000000005</v>
      </c>
      <c r="T190">
        <f>O190-S190</f>
        <v>20300660.657233797</v>
      </c>
      <c r="U190">
        <f>U189+T190</f>
        <v>61082921.274095006</v>
      </c>
      <c r="V190">
        <f>MAX(0,-U190)</f>
        <v>0</v>
      </c>
      <c r="W190" cm="1">
        <f t="array" ref="W190">W189*PRODUCT(1/(1+'CIR Scenarios'!T28:'CIR Scenarios'!T39/12))</f>
        <v>0.89880663650558745</v>
      </c>
      <c r="X190">
        <f>V190*W190</f>
        <v>0</v>
      </c>
    </row>
    <row r="191" spans="9:24" x14ac:dyDescent="0.2">
      <c r="I191">
        <v>4</v>
      </c>
      <c r="J191">
        <v>40000000</v>
      </c>
      <c r="K191">
        <f>J191*Asset_Coupon</f>
        <v>1600000</v>
      </c>
      <c r="L191">
        <v>20000000</v>
      </c>
      <c r="M191">
        <f>AVERAGE('CIR Scenarios'!T40:'CIR Scenarios'!T51)</f>
        <v>3.7840045560868972E-2</v>
      </c>
      <c r="N191">
        <f>IF(U190&gt;0,U190*M191,0)</f>
        <v>2311380.5240027276</v>
      </c>
      <c r="O191">
        <f>K191+L191+N191</f>
        <v>23911380.524002727</v>
      </c>
      <c r="P191">
        <f>FABN_Face*FABN_Rate</f>
        <v>3500000.0000000005</v>
      </c>
      <c r="Q191">
        <v>0</v>
      </c>
      <c r="R191">
        <f>Expenses</f>
        <v>50000</v>
      </c>
      <c r="S191">
        <f>P191+Q191+R191</f>
        <v>3550000.0000000005</v>
      </c>
      <c r="T191">
        <f>O191-S191</f>
        <v>20361380.524002727</v>
      </c>
      <c r="U191">
        <f>U190+T191</f>
        <v>81444301.79809773</v>
      </c>
      <c r="V191">
        <f>MAX(0,-U191)</f>
        <v>0</v>
      </c>
      <c r="W191" cm="1">
        <f t="array" ref="W191">W190*PRODUCT(1/(1+'CIR Scenarios'!T40:'CIR Scenarios'!T51/12))</f>
        <v>0.86548298180904926</v>
      </c>
      <c r="X191">
        <f>V191*W191</f>
        <v>0</v>
      </c>
    </row>
    <row r="192" spans="9:24" x14ac:dyDescent="0.2">
      <c r="I192">
        <v>5</v>
      </c>
      <c r="J192">
        <v>20000000</v>
      </c>
      <c r="K192">
        <f>J192*Asset_Coupon</f>
        <v>800000</v>
      </c>
      <c r="L192">
        <v>20000000</v>
      </c>
      <c r="M192">
        <f>AVERAGE('CIR Scenarios'!T52:'CIR Scenarios'!T63)</f>
        <v>3.6943115968348171E-2</v>
      </c>
      <c r="N192">
        <f>IF(U191&gt;0,U191*M192,0)</f>
        <v>3008806.2862882721</v>
      </c>
      <c r="O192">
        <f>K192+L192+N192</f>
        <v>23808806.286288273</v>
      </c>
      <c r="P192">
        <f>FABN_Face*FABN_Rate</f>
        <v>3500000.0000000005</v>
      </c>
      <c r="Q192">
        <v>100000000</v>
      </c>
      <c r="R192">
        <f>Expenses</f>
        <v>50000</v>
      </c>
      <c r="S192">
        <f>P192+Q192+R192</f>
        <v>103550000</v>
      </c>
      <c r="T192">
        <f>O192-S192</f>
        <v>-79741193.713711724</v>
      </c>
      <c r="U192">
        <f>U191+T192</f>
        <v>1703108.084386006</v>
      </c>
      <c r="V192">
        <f>MAX(0,-U192)</f>
        <v>0</v>
      </c>
      <c r="W192" cm="1">
        <f t="array" ref="W192">W191*PRODUCT(1/(1+'CIR Scenarios'!T52:'CIR Scenarios'!T63/12))</f>
        <v>0.83414055961023414</v>
      </c>
      <c r="X192">
        <f>V192*W192</f>
        <v>0</v>
      </c>
    </row>
    <row r="193" spans="9:24" x14ac:dyDescent="0.2">
      <c r="U193">
        <f>U192</f>
        <v>1703108.084386006</v>
      </c>
      <c r="V193">
        <f>MAX(0,-U193)</f>
        <v>0</v>
      </c>
      <c r="W193">
        <f>MATCH(MAX(X188:X192),X188:X192,0)</f>
        <v>1</v>
      </c>
      <c r="X193">
        <f>MAX(X188:X192)</f>
        <v>0</v>
      </c>
    </row>
    <row r="195" spans="9:24" x14ac:dyDescent="0.2">
      <c r="I195">
        <v>1</v>
      </c>
      <c r="J195">
        <v>100000000</v>
      </c>
      <c r="K195">
        <f>J195*Asset_Coupon</f>
        <v>4000000</v>
      </c>
      <c r="L195">
        <v>20000000</v>
      </c>
      <c r="M195">
        <f>AVERAGE('CIR Scenarios'!U4:'CIR Scenarios'!U15)</f>
        <v>3.9822235000765142E-2</v>
      </c>
      <c r="N195">
        <v>0</v>
      </c>
      <c r="O195">
        <f>K195+L195+N195</f>
        <v>24000000</v>
      </c>
      <c r="P195">
        <f>FABN_Face*FABN_Rate</f>
        <v>3500000.0000000005</v>
      </c>
      <c r="Q195">
        <v>0</v>
      </c>
      <c r="R195">
        <f>Expenses</f>
        <v>50000</v>
      </c>
      <c r="S195">
        <f>P195+Q195+R195</f>
        <v>3550000.0000000005</v>
      </c>
      <c r="T195">
        <f>O195-S195</f>
        <v>20450000</v>
      </c>
      <c r="U195">
        <f>T195</f>
        <v>20450000</v>
      </c>
      <c r="V195">
        <f>MAX(0,-U195)</f>
        <v>0</v>
      </c>
      <c r="W195" cm="1">
        <f t="array" ref="W195">PRODUCT(1/(1+'CIR Scenarios'!U4:'CIR Scenarios'!U15/12))</f>
        <v>0.96102456742511422</v>
      </c>
      <c r="X195">
        <f>V195*W195</f>
        <v>0</v>
      </c>
    </row>
    <row r="196" spans="9:24" x14ac:dyDescent="0.2">
      <c r="I196">
        <v>2</v>
      </c>
      <c r="J196">
        <v>80000000</v>
      </c>
      <c r="K196">
        <f>J196*Asset_Coupon</f>
        <v>3200000</v>
      </c>
      <c r="L196">
        <v>20000000</v>
      </c>
      <c r="M196">
        <f>AVERAGE('CIR Scenarios'!U16:'CIR Scenarios'!U27)</f>
        <v>4.3245327060488482E-2</v>
      </c>
      <c r="N196">
        <f>IF(U195&gt;0,U195*M196,0)</f>
        <v>884366.93838698941</v>
      </c>
      <c r="O196">
        <f>K196+L196+N196</f>
        <v>24084366.938386988</v>
      </c>
      <c r="P196">
        <f>FABN_Face*FABN_Rate</f>
        <v>3500000.0000000005</v>
      </c>
      <c r="Q196">
        <v>0</v>
      </c>
      <c r="R196">
        <f>Expenses</f>
        <v>50000</v>
      </c>
      <c r="S196">
        <f>P196+Q196+R196</f>
        <v>3550000.0000000005</v>
      </c>
      <c r="T196">
        <f>O196-S196</f>
        <v>20534366.938386988</v>
      </c>
      <c r="U196">
        <f>U195+T196</f>
        <v>40984366.938386992</v>
      </c>
      <c r="V196">
        <f>MAX(0,-U196)</f>
        <v>0</v>
      </c>
      <c r="W196" cm="1">
        <f t="array" ref="W196">W195*PRODUCT(1/(1+'CIR Scenarios'!U16:'CIR Scenarios'!U27/12))</f>
        <v>0.92042344746884919</v>
      </c>
      <c r="X196">
        <f>V196*W196</f>
        <v>0</v>
      </c>
    </row>
    <row r="197" spans="9:24" x14ac:dyDescent="0.2">
      <c r="I197">
        <v>3</v>
      </c>
      <c r="J197">
        <v>60000000</v>
      </c>
      <c r="K197">
        <f>J197*Asset_Coupon</f>
        <v>2400000</v>
      </c>
      <c r="L197">
        <v>20000000</v>
      </c>
      <c r="M197">
        <f>AVERAGE('CIR Scenarios'!U28:'CIR Scenarios'!U39)</f>
        <v>3.5834646374727039E-2</v>
      </c>
      <c r="N197">
        <f>IF(U196&gt;0,U196*M197,0)</f>
        <v>1468660.2961291522</v>
      </c>
      <c r="O197">
        <f>K197+L197+N197</f>
        <v>23868660.296129152</v>
      </c>
      <c r="P197">
        <f>FABN_Face*FABN_Rate</f>
        <v>3500000.0000000005</v>
      </c>
      <c r="Q197">
        <v>0</v>
      </c>
      <c r="R197">
        <f>Expenses</f>
        <v>50000</v>
      </c>
      <c r="S197">
        <f>P197+Q197+R197</f>
        <v>3550000.0000000005</v>
      </c>
      <c r="T197">
        <f>O197-S197</f>
        <v>20318660.296129152</v>
      </c>
      <c r="U197">
        <f>U196+T197</f>
        <v>61303027.234516144</v>
      </c>
      <c r="V197">
        <f>MAX(0,-U197)</f>
        <v>0</v>
      </c>
      <c r="W197" cm="1">
        <f t="array" ref="W197">W196*PRODUCT(1/(1+'CIR Scenarios'!U28:'CIR Scenarios'!U39/12))</f>
        <v>0.88807394309991639</v>
      </c>
      <c r="X197">
        <f>V197*W197</f>
        <v>0</v>
      </c>
    </row>
    <row r="198" spans="9:24" x14ac:dyDescent="0.2">
      <c r="I198">
        <v>4</v>
      </c>
      <c r="J198">
        <v>40000000</v>
      </c>
      <c r="K198">
        <f>J198*Asset_Coupon</f>
        <v>1600000</v>
      </c>
      <c r="L198">
        <v>20000000</v>
      </c>
      <c r="M198">
        <f>AVERAGE('CIR Scenarios'!U40:'CIR Scenarios'!U51)</f>
        <v>4.3979502388989622E-2</v>
      </c>
      <c r="N198">
        <f>IF(U197&gt;0,U197*M198,0)</f>
        <v>2696076.6327126985</v>
      </c>
      <c r="O198">
        <f>K198+L198+N198</f>
        <v>24296076.632712699</v>
      </c>
      <c r="P198">
        <f>FABN_Face*FABN_Rate</f>
        <v>3500000.0000000005</v>
      </c>
      <c r="Q198">
        <v>0</v>
      </c>
      <c r="R198">
        <f>Expenses</f>
        <v>50000</v>
      </c>
      <c r="S198">
        <f>P198+Q198+R198</f>
        <v>3550000.0000000005</v>
      </c>
      <c r="T198">
        <f>O198-S198</f>
        <v>20746076.632712699</v>
      </c>
      <c r="U198">
        <f>U197+T198</f>
        <v>82049103.867228836</v>
      </c>
      <c r="V198">
        <f>MAX(0,-U198)</f>
        <v>0</v>
      </c>
      <c r="W198" cm="1">
        <f t="array" ref="W198">W197*PRODUCT(1/(1+'CIR Scenarios'!U40:'CIR Scenarios'!U51/12))</f>
        <v>0.84993212035769949</v>
      </c>
      <c r="X198">
        <f>V198*W198</f>
        <v>0</v>
      </c>
    </row>
    <row r="199" spans="9:24" x14ac:dyDescent="0.2">
      <c r="I199">
        <v>5</v>
      </c>
      <c r="J199">
        <v>20000000</v>
      </c>
      <c r="K199">
        <f>J199*Asset_Coupon</f>
        <v>800000</v>
      </c>
      <c r="L199">
        <v>20000000</v>
      </c>
      <c r="M199">
        <f>AVERAGE('CIR Scenarios'!U52:'CIR Scenarios'!U63)</f>
        <v>5.0058950216874128E-2</v>
      </c>
      <c r="N199">
        <f>IF(U198&gt;0,U198*M199,0)</f>
        <v>4107292.0058287429</v>
      </c>
      <c r="O199">
        <f>K199+L199+N199</f>
        <v>24907292.005828742</v>
      </c>
      <c r="P199">
        <f>FABN_Face*FABN_Rate</f>
        <v>3500000.0000000005</v>
      </c>
      <c r="Q199">
        <v>100000000</v>
      </c>
      <c r="R199">
        <f>Expenses</f>
        <v>50000</v>
      </c>
      <c r="S199">
        <f>P199+Q199+R199</f>
        <v>103550000</v>
      </c>
      <c r="T199">
        <f>O199-S199</f>
        <v>-78642707.994171262</v>
      </c>
      <c r="U199">
        <f>U198+T199</f>
        <v>3406395.873057574</v>
      </c>
      <c r="V199">
        <f>MAX(0,-U199)</f>
        <v>0</v>
      </c>
      <c r="W199" cm="1">
        <f t="array" ref="W199">W198*PRODUCT(1/(1+'CIR Scenarios'!U52:'CIR Scenarios'!U63/12))</f>
        <v>0.80851717412328894</v>
      </c>
      <c r="X199">
        <f>V199*W199</f>
        <v>0</v>
      </c>
    </row>
    <row r="200" spans="9:24" x14ac:dyDescent="0.2">
      <c r="U200">
        <f>U199</f>
        <v>3406395.873057574</v>
      </c>
      <c r="V200">
        <f>MAX(0,-U200)</f>
        <v>0</v>
      </c>
      <c r="W200">
        <f>MATCH(MAX(X195:X199),X195:X199,0)</f>
        <v>1</v>
      </c>
      <c r="X200">
        <f>MAX(X195:X199)</f>
        <v>0</v>
      </c>
    </row>
    <row r="202" spans="9:24" x14ac:dyDescent="0.2">
      <c r="I202">
        <v>1</v>
      </c>
      <c r="J202">
        <v>100000000</v>
      </c>
      <c r="K202">
        <f>J202*Asset_Coupon</f>
        <v>4000000</v>
      </c>
      <c r="L202">
        <v>20000000</v>
      </c>
      <c r="M202">
        <f>AVERAGE('CIR Scenarios'!V4:'CIR Scenarios'!V15)</f>
        <v>4.4405674539917762E-2</v>
      </c>
      <c r="N202">
        <v>0</v>
      </c>
      <c r="O202">
        <f>K202+L202+N202</f>
        <v>24000000</v>
      </c>
      <c r="P202">
        <f>FABN_Face*FABN_Rate</f>
        <v>3500000.0000000005</v>
      </c>
      <c r="Q202">
        <v>0</v>
      </c>
      <c r="R202">
        <f>Expenses</f>
        <v>50000</v>
      </c>
      <c r="S202">
        <f>P202+Q202+R202</f>
        <v>3550000.0000000005</v>
      </c>
      <c r="T202">
        <f>O202-S202</f>
        <v>20450000</v>
      </c>
      <c r="U202">
        <f>T202</f>
        <v>20450000</v>
      </c>
      <c r="V202">
        <f>MAX(0,-U202)</f>
        <v>0</v>
      </c>
      <c r="W202" cm="1">
        <f t="array" ref="W202">PRODUCT(1/(1+'CIR Scenarios'!V4:'CIR Scenarios'!V15/12))</f>
        <v>0.95664451786697813</v>
      </c>
      <c r="X202">
        <f>V202*W202</f>
        <v>0</v>
      </c>
    </row>
    <row r="203" spans="9:24" x14ac:dyDescent="0.2">
      <c r="I203">
        <v>2</v>
      </c>
      <c r="J203">
        <v>80000000</v>
      </c>
      <c r="K203">
        <f>J203*Asset_Coupon</f>
        <v>3200000</v>
      </c>
      <c r="L203">
        <v>20000000</v>
      </c>
      <c r="M203">
        <f>AVERAGE('CIR Scenarios'!V16:'CIR Scenarios'!V27)</f>
        <v>4.6300650361973415E-2</v>
      </c>
      <c r="N203">
        <f>IF(U202&gt;0,U202*M203,0)</f>
        <v>946848.29990235635</v>
      </c>
      <c r="O203">
        <f>K203+L203+N203</f>
        <v>24146848.299902357</v>
      </c>
      <c r="P203">
        <f>FABN_Face*FABN_Rate</f>
        <v>3500000.0000000005</v>
      </c>
      <c r="Q203">
        <v>0</v>
      </c>
      <c r="R203">
        <f>Expenses</f>
        <v>50000</v>
      </c>
      <c r="S203">
        <f>P203+Q203+R203</f>
        <v>3550000.0000000005</v>
      </c>
      <c r="T203">
        <f>O203-S203</f>
        <v>20596848.299902357</v>
      </c>
      <c r="U203">
        <f>U202+T203</f>
        <v>41046848.299902357</v>
      </c>
      <c r="V203">
        <f>MAX(0,-U203)</f>
        <v>0</v>
      </c>
      <c r="W203" cm="1">
        <f t="array" ref="W203">W202*PRODUCT(1/(1+'CIR Scenarios'!V16:'CIR Scenarios'!V27/12))</f>
        <v>0.91344383344826796</v>
      </c>
      <c r="X203">
        <f>V203*W203</f>
        <v>0</v>
      </c>
    </row>
    <row r="204" spans="9:24" x14ac:dyDescent="0.2">
      <c r="I204">
        <v>3</v>
      </c>
      <c r="J204">
        <v>60000000</v>
      </c>
      <c r="K204">
        <f>J204*Asset_Coupon</f>
        <v>2400000</v>
      </c>
      <c r="L204">
        <v>20000000</v>
      </c>
      <c r="M204">
        <f>AVERAGE('CIR Scenarios'!V28:'CIR Scenarios'!V39)</f>
        <v>3.164002923282231E-2</v>
      </c>
      <c r="N204">
        <f>IF(U203&gt;0,U203*M204,0)</f>
        <v>1298723.4801241334</v>
      </c>
      <c r="O204">
        <f>K204+L204+N204</f>
        <v>23698723.480124135</v>
      </c>
      <c r="P204">
        <f>FABN_Face*FABN_Rate</f>
        <v>3500000.0000000005</v>
      </c>
      <c r="Q204">
        <v>0</v>
      </c>
      <c r="R204">
        <f>Expenses</f>
        <v>50000</v>
      </c>
      <c r="S204">
        <f>P204+Q204+R204</f>
        <v>3550000.0000000005</v>
      </c>
      <c r="T204">
        <f>O204-S204</f>
        <v>20148723.480124135</v>
      </c>
      <c r="U204">
        <f>U203+T204</f>
        <v>61195571.780026495</v>
      </c>
      <c r="V204">
        <f>MAX(0,-U204)</f>
        <v>0</v>
      </c>
      <c r="W204" cm="1">
        <f t="array" ref="W204">W203*PRODUCT(1/(1+'CIR Scenarios'!V28:'CIR Scenarios'!V39/12))</f>
        <v>0.88503249258271621</v>
      </c>
      <c r="X204">
        <f>V204*W204</f>
        <v>0</v>
      </c>
    </row>
    <row r="205" spans="9:24" x14ac:dyDescent="0.2">
      <c r="I205">
        <v>4</v>
      </c>
      <c r="J205">
        <v>40000000</v>
      </c>
      <c r="K205">
        <f>J205*Asset_Coupon</f>
        <v>1600000</v>
      </c>
      <c r="L205">
        <v>20000000</v>
      </c>
      <c r="M205">
        <f>AVERAGE('CIR Scenarios'!V40:'CIR Scenarios'!V51)</f>
        <v>2.7936833785539381E-2</v>
      </c>
      <c r="N205">
        <f>IF(U204&gt;0,U204*M205,0)</f>
        <v>1709610.5172296446</v>
      </c>
      <c r="O205">
        <f>K205+L205+N205</f>
        <v>23309610.517229646</v>
      </c>
      <c r="P205">
        <f>FABN_Face*FABN_Rate</f>
        <v>3500000.0000000005</v>
      </c>
      <c r="Q205">
        <v>0</v>
      </c>
      <c r="R205">
        <f>Expenses</f>
        <v>50000</v>
      </c>
      <c r="S205">
        <f>P205+Q205+R205</f>
        <v>3550000.0000000005</v>
      </c>
      <c r="T205">
        <f>O205-S205</f>
        <v>19759610.517229646</v>
      </c>
      <c r="U205">
        <f>U204+T205</f>
        <v>80955182.297256142</v>
      </c>
      <c r="V205">
        <f>MAX(0,-U205)</f>
        <v>0</v>
      </c>
      <c r="W205" cm="1">
        <f t="array" ref="W205">W204*PRODUCT(1/(1+'CIR Scenarios'!V40:'CIR Scenarios'!V51/12))</f>
        <v>0.86067777096499076</v>
      </c>
      <c r="X205">
        <f>V205*W205</f>
        <v>0</v>
      </c>
    </row>
    <row r="206" spans="9:24" x14ac:dyDescent="0.2">
      <c r="I206">
        <v>5</v>
      </c>
      <c r="J206">
        <v>20000000</v>
      </c>
      <c r="K206">
        <f>J206*Asset_Coupon</f>
        <v>800000</v>
      </c>
      <c r="L206">
        <v>20000000</v>
      </c>
      <c r="M206">
        <f>AVERAGE('CIR Scenarios'!V52:'CIR Scenarios'!V63)</f>
        <v>2.8681802217288176E-2</v>
      </c>
      <c r="N206">
        <f>IF(U205&gt;0,U205*M206,0)</f>
        <v>2321940.52711441</v>
      </c>
      <c r="O206">
        <f>K206+L206+N206</f>
        <v>23121940.52711441</v>
      </c>
      <c r="P206">
        <f>FABN_Face*FABN_Rate</f>
        <v>3500000.0000000005</v>
      </c>
      <c r="Q206">
        <v>100000000</v>
      </c>
      <c r="R206">
        <f>Expenses</f>
        <v>50000</v>
      </c>
      <c r="S206">
        <f>P206+Q206+R206</f>
        <v>103550000</v>
      </c>
      <c r="T206">
        <f>O206-S206</f>
        <v>-80428059.472885594</v>
      </c>
      <c r="U206">
        <f>U205+T206</f>
        <v>527122.82437054813</v>
      </c>
      <c r="V206">
        <f>MAX(0,-U206)</f>
        <v>0</v>
      </c>
      <c r="W206" cm="1">
        <f t="array" ref="W206">W205*PRODUCT(1/(1+'CIR Scenarios'!V52:'CIR Scenarios'!V63/12))</f>
        <v>0.8363718641518042</v>
      </c>
      <c r="X206">
        <f>V206*W206</f>
        <v>0</v>
      </c>
    </row>
    <row r="207" spans="9:24" x14ac:dyDescent="0.2">
      <c r="U207">
        <f>U206</f>
        <v>527122.82437054813</v>
      </c>
      <c r="V207">
        <f>MAX(0,-U207)</f>
        <v>0</v>
      </c>
      <c r="W207">
        <f>MATCH(MAX(X202:X206),X202:X206,0)</f>
        <v>1</v>
      </c>
      <c r="X207">
        <f>MAX(X202:X206)</f>
        <v>0</v>
      </c>
    </row>
    <row r="209" spans="9:24" x14ac:dyDescent="0.2">
      <c r="I209">
        <v>1</v>
      </c>
      <c r="J209">
        <v>100000000</v>
      </c>
      <c r="K209">
        <f>J209*Asset_Coupon</f>
        <v>4000000</v>
      </c>
      <c r="L209">
        <v>20000000</v>
      </c>
      <c r="M209">
        <f>AVERAGE('CIR Scenarios'!W4:'CIR Scenarios'!W15)</f>
        <v>3.8984645883784252E-2</v>
      </c>
      <c r="N209">
        <v>0</v>
      </c>
      <c r="O209">
        <f>K209+L209+N209</f>
        <v>24000000</v>
      </c>
      <c r="P209">
        <f>FABN_Face*FABN_Rate</f>
        <v>3500000.0000000005</v>
      </c>
      <c r="Q209">
        <v>0</v>
      </c>
      <c r="R209">
        <f>Expenses</f>
        <v>50000</v>
      </c>
      <c r="S209">
        <f>P209+Q209+R209</f>
        <v>3550000.0000000005</v>
      </c>
      <c r="T209">
        <f>O209-S209</f>
        <v>20450000</v>
      </c>
      <c r="U209">
        <f>T209</f>
        <v>20450000</v>
      </c>
      <c r="V209">
        <f>MAX(0,-U209)</f>
        <v>0</v>
      </c>
      <c r="W209" cm="1">
        <f t="array" ref="W209">PRODUCT(1/(1+'CIR Scenarios'!W4:'CIR Scenarios'!W15/12))</f>
        <v>0.96182654535015999</v>
      </c>
      <c r="X209">
        <f>V209*W209</f>
        <v>0</v>
      </c>
    </row>
    <row r="210" spans="9:24" x14ac:dyDescent="0.2">
      <c r="I210">
        <v>2</v>
      </c>
      <c r="J210">
        <v>80000000</v>
      </c>
      <c r="K210">
        <f>J210*Asset_Coupon</f>
        <v>3200000</v>
      </c>
      <c r="L210">
        <v>20000000</v>
      </c>
      <c r="M210">
        <f>AVERAGE('CIR Scenarios'!W16:'CIR Scenarios'!W27)</f>
        <v>4.4982229342053016E-2</v>
      </c>
      <c r="N210">
        <f>IF(U209&gt;0,U209*M210,0)</f>
        <v>919886.59004498413</v>
      </c>
      <c r="O210">
        <f>K210+L210+N210</f>
        <v>24119886.590044983</v>
      </c>
      <c r="P210">
        <f>FABN_Face*FABN_Rate</f>
        <v>3500000.0000000005</v>
      </c>
      <c r="Q210">
        <v>0</v>
      </c>
      <c r="R210">
        <f>Expenses</f>
        <v>50000</v>
      </c>
      <c r="S210">
        <f>P210+Q210+R210</f>
        <v>3550000.0000000005</v>
      </c>
      <c r="T210">
        <f>O210-S210</f>
        <v>20569886.590044983</v>
      </c>
      <c r="U210">
        <f>U209+T210</f>
        <v>41019886.590044983</v>
      </c>
      <c r="V210">
        <f>MAX(0,-U210)</f>
        <v>0</v>
      </c>
      <c r="W210" cm="1">
        <f t="array" ref="W210">W209*PRODUCT(1/(1+'CIR Scenarios'!W16:'CIR Scenarios'!W27/12))</f>
        <v>0.91960033617346348</v>
      </c>
      <c r="X210">
        <f>V210*W210</f>
        <v>0</v>
      </c>
    </row>
    <row r="211" spans="9:24" x14ac:dyDescent="0.2">
      <c r="I211">
        <v>3</v>
      </c>
      <c r="J211">
        <v>60000000</v>
      </c>
      <c r="K211">
        <f>J211*Asset_Coupon</f>
        <v>2400000</v>
      </c>
      <c r="L211">
        <v>20000000</v>
      </c>
      <c r="M211">
        <f>AVERAGE('CIR Scenarios'!W28:'CIR Scenarios'!W39)</f>
        <v>4.2446151313015851E-2</v>
      </c>
      <c r="N211">
        <f>IF(U210&gt;0,U210*M211,0)</f>
        <v>1741136.313043799</v>
      </c>
      <c r="O211">
        <f>K211+L211+N211</f>
        <v>24141136.313043799</v>
      </c>
      <c r="P211">
        <f>FABN_Face*FABN_Rate</f>
        <v>3500000.0000000005</v>
      </c>
      <c r="Q211">
        <v>0</v>
      </c>
      <c r="R211">
        <f>Expenses</f>
        <v>50000</v>
      </c>
      <c r="S211">
        <f>P211+Q211+R211</f>
        <v>3550000.0000000005</v>
      </c>
      <c r="T211">
        <f>O211-S211</f>
        <v>20591136.313043799</v>
      </c>
      <c r="U211">
        <f>U210+T211</f>
        <v>61611022.903088778</v>
      </c>
      <c r="V211">
        <f>MAX(0,-U211)</f>
        <v>0</v>
      </c>
      <c r="W211" cm="1">
        <f t="array" ref="W211">W210*PRODUCT(1/(1+'CIR Scenarios'!W28:'CIR Scenarios'!W39/12))</f>
        <v>0.88144976098639571</v>
      </c>
      <c r="X211">
        <f>V211*W211</f>
        <v>0</v>
      </c>
    </row>
    <row r="212" spans="9:24" x14ac:dyDescent="0.2">
      <c r="I212">
        <v>4</v>
      </c>
      <c r="J212">
        <v>40000000</v>
      </c>
      <c r="K212">
        <f>J212*Asset_Coupon</f>
        <v>1600000</v>
      </c>
      <c r="L212">
        <v>20000000</v>
      </c>
      <c r="M212">
        <f>AVERAGE('CIR Scenarios'!W40:'CIR Scenarios'!W51)</f>
        <v>4.5404445827330019E-2</v>
      </c>
      <c r="N212">
        <f>IF(U211&gt;0,U211*M212,0)</f>
        <v>2797414.3517696834</v>
      </c>
      <c r="O212">
        <f>K212+L212+N212</f>
        <v>24397414.351769682</v>
      </c>
      <c r="P212">
        <f>FABN_Face*FABN_Rate</f>
        <v>3500000.0000000005</v>
      </c>
      <c r="Q212">
        <v>0</v>
      </c>
      <c r="R212">
        <f>Expenses</f>
        <v>50000</v>
      </c>
      <c r="S212">
        <f>P212+Q212+R212</f>
        <v>3550000.0000000005</v>
      </c>
      <c r="T212">
        <f>O212-S212</f>
        <v>20847414.351769682</v>
      </c>
      <c r="U212">
        <f>U211+T212</f>
        <v>82458437.254858464</v>
      </c>
      <c r="V212">
        <f>MAX(0,-U212)</f>
        <v>0</v>
      </c>
      <c r="W212" cm="1">
        <f t="array" ref="W212">W211*PRODUCT(1/(1+'CIR Scenarios'!W40:'CIR Scenarios'!W51/12))</f>
        <v>0.84239584039678739</v>
      </c>
      <c r="X212">
        <f>V212*W212</f>
        <v>0</v>
      </c>
    </row>
    <row r="213" spans="9:24" x14ac:dyDescent="0.2">
      <c r="I213">
        <v>5</v>
      </c>
      <c r="J213">
        <v>20000000</v>
      </c>
      <c r="K213">
        <f>J213*Asset_Coupon</f>
        <v>800000</v>
      </c>
      <c r="L213">
        <v>20000000</v>
      </c>
      <c r="M213">
        <f>AVERAGE('CIR Scenarios'!W52:'CIR Scenarios'!W63)</f>
        <v>3.7200700196974183E-2</v>
      </c>
      <c r="N213">
        <f>IF(U212&gt;0,U212*M213,0)</f>
        <v>3067511.6030289964</v>
      </c>
      <c r="O213">
        <f>K213+L213+N213</f>
        <v>23867511.603028998</v>
      </c>
      <c r="P213">
        <f>FABN_Face*FABN_Rate</f>
        <v>3500000.0000000005</v>
      </c>
      <c r="Q213">
        <v>100000000</v>
      </c>
      <c r="R213">
        <f>Expenses</f>
        <v>50000</v>
      </c>
      <c r="S213">
        <f>P213+Q213+R213</f>
        <v>103550000</v>
      </c>
      <c r="T213">
        <f>O213-S213</f>
        <v>-79682488.396971002</v>
      </c>
      <c r="U213">
        <f>U212+T213</f>
        <v>2775948.8578874618</v>
      </c>
      <c r="V213">
        <f>MAX(0,-U213)</f>
        <v>0</v>
      </c>
      <c r="W213" cm="1">
        <f t="array" ref="W213">W212*PRODUCT(1/(1+'CIR Scenarios'!W52:'CIR Scenarios'!W63/12))</f>
        <v>0.81168240825080318</v>
      </c>
      <c r="X213">
        <f>V213*W213</f>
        <v>0</v>
      </c>
    </row>
    <row r="214" spans="9:24" x14ac:dyDescent="0.2">
      <c r="U214">
        <f>U213</f>
        <v>2775948.8578874618</v>
      </c>
      <c r="V214">
        <f>MAX(0,-U214)</f>
        <v>0</v>
      </c>
      <c r="W214">
        <f>MATCH(MAX(X209:X213),X209:X213,0)</f>
        <v>1</v>
      </c>
      <c r="X214">
        <f>MAX(X209:X213)</f>
        <v>0</v>
      </c>
    </row>
    <row r="216" spans="9:24" x14ac:dyDescent="0.2">
      <c r="I216">
        <v>1</v>
      </c>
      <c r="J216">
        <v>100000000</v>
      </c>
      <c r="K216">
        <f>J216*Asset_Coupon</f>
        <v>4000000</v>
      </c>
      <c r="L216">
        <v>20000000</v>
      </c>
      <c r="M216">
        <f>AVERAGE('CIR Scenarios'!X4:'CIR Scenarios'!X15)</f>
        <v>4.4905589399396796E-2</v>
      </c>
      <c r="N216">
        <v>0</v>
      </c>
      <c r="O216">
        <f>K216+L216+N216</f>
        <v>24000000</v>
      </c>
      <c r="P216">
        <f>FABN_Face*FABN_Rate</f>
        <v>3500000.0000000005</v>
      </c>
      <c r="Q216">
        <v>0</v>
      </c>
      <c r="R216">
        <f>Expenses</f>
        <v>50000</v>
      </c>
      <c r="S216">
        <f>P216+Q216+R216</f>
        <v>3550000.0000000005</v>
      </c>
      <c r="T216">
        <f>O216-S216</f>
        <v>20450000</v>
      </c>
      <c r="U216">
        <f>T216</f>
        <v>20450000</v>
      </c>
      <c r="V216">
        <f>MAX(0,-U216)</f>
        <v>0</v>
      </c>
      <c r="W216" cm="1">
        <f t="array" ref="W216">PRODUCT(1/(1+'CIR Scenarios'!X4:'CIR Scenarios'!X15/12))</f>
        <v>0.95616837456255388</v>
      </c>
      <c r="X216">
        <f>V216*W216</f>
        <v>0</v>
      </c>
    </row>
    <row r="217" spans="9:24" x14ac:dyDescent="0.2">
      <c r="I217">
        <v>2</v>
      </c>
      <c r="J217">
        <v>80000000</v>
      </c>
      <c r="K217">
        <f>J217*Asset_Coupon</f>
        <v>3200000</v>
      </c>
      <c r="L217">
        <v>20000000</v>
      </c>
      <c r="M217">
        <f>AVERAGE('CIR Scenarios'!X16:'CIR Scenarios'!X27)</f>
        <v>4.0949152620029274E-2</v>
      </c>
      <c r="N217">
        <f>IF(U216&gt;0,U216*M217,0)</f>
        <v>837410.1710795986</v>
      </c>
      <c r="O217">
        <f>K217+L217+N217</f>
        <v>24037410.171079598</v>
      </c>
      <c r="P217">
        <f>FABN_Face*FABN_Rate</f>
        <v>3500000.0000000005</v>
      </c>
      <c r="Q217">
        <v>0</v>
      </c>
      <c r="R217">
        <f>Expenses</f>
        <v>50000</v>
      </c>
      <c r="S217">
        <f>P217+Q217+R217</f>
        <v>3550000.0000000005</v>
      </c>
      <c r="T217">
        <f>O217-S217</f>
        <v>20487410.171079598</v>
      </c>
      <c r="U217">
        <f>U216+T217</f>
        <v>40937410.171079598</v>
      </c>
      <c r="V217">
        <f>MAX(0,-U217)</f>
        <v>0</v>
      </c>
      <c r="W217" cm="1">
        <f t="array" ref="W217">W216*PRODUCT(1/(1+'CIR Scenarios'!X16:'CIR Scenarios'!X27/12))</f>
        <v>0.91787007034873425</v>
      </c>
      <c r="X217">
        <f>V217*W217</f>
        <v>0</v>
      </c>
    </row>
    <row r="218" spans="9:24" x14ac:dyDescent="0.2">
      <c r="I218">
        <v>3</v>
      </c>
      <c r="J218">
        <v>60000000</v>
      </c>
      <c r="K218">
        <f>J218*Asset_Coupon</f>
        <v>2400000</v>
      </c>
      <c r="L218">
        <v>20000000</v>
      </c>
      <c r="M218">
        <f>AVERAGE('CIR Scenarios'!X28:'CIR Scenarios'!X39)</f>
        <v>4.0133793361490526E-2</v>
      </c>
      <c r="N218">
        <f>IF(U217&gt;0,U217*M218,0)</f>
        <v>1642973.5605606891</v>
      </c>
      <c r="O218">
        <f>K218+L218+N218</f>
        <v>24042973.560560688</v>
      </c>
      <c r="P218">
        <f>FABN_Face*FABN_Rate</f>
        <v>3500000.0000000005</v>
      </c>
      <c r="Q218">
        <v>0</v>
      </c>
      <c r="R218">
        <f>Expenses</f>
        <v>50000</v>
      </c>
      <c r="S218">
        <f>P218+Q218+R218</f>
        <v>3550000.0000000005</v>
      </c>
      <c r="T218">
        <f>O218-S218</f>
        <v>20492973.560560688</v>
      </c>
      <c r="U218">
        <f>U217+T218</f>
        <v>61430383.731640287</v>
      </c>
      <c r="V218">
        <f>MAX(0,-U218)</f>
        <v>0</v>
      </c>
      <c r="W218" cm="1">
        <f t="array" ref="W218">W217*PRODUCT(1/(1+'CIR Scenarios'!X28:'CIR Scenarios'!X39/12))</f>
        <v>0.88182214010826054</v>
      </c>
      <c r="X218">
        <f>V218*W218</f>
        <v>0</v>
      </c>
    </row>
    <row r="219" spans="9:24" x14ac:dyDescent="0.2">
      <c r="I219">
        <v>4</v>
      </c>
      <c r="J219">
        <v>40000000</v>
      </c>
      <c r="K219">
        <f>J219*Asset_Coupon</f>
        <v>1600000</v>
      </c>
      <c r="L219">
        <v>20000000</v>
      </c>
      <c r="M219">
        <f>AVERAGE('CIR Scenarios'!X40:'CIR Scenarios'!X51)</f>
        <v>3.762434627426945E-2</v>
      </c>
      <c r="N219">
        <f>IF(U218&gt;0,U218*M219,0)</f>
        <v>2311278.0292804828</v>
      </c>
      <c r="O219">
        <f>K219+L219+N219</f>
        <v>23911278.029280484</v>
      </c>
      <c r="P219">
        <f>FABN_Face*FABN_Rate</f>
        <v>3500000.0000000005</v>
      </c>
      <c r="Q219">
        <v>0</v>
      </c>
      <c r="R219">
        <f>Expenses</f>
        <v>50000</v>
      </c>
      <c r="S219">
        <f>P219+Q219+R219</f>
        <v>3550000.0000000005</v>
      </c>
      <c r="T219">
        <f>O219-S219</f>
        <v>20361278.029280484</v>
      </c>
      <c r="U219">
        <f>U218+T219</f>
        <v>81791661.760920763</v>
      </c>
      <c r="V219">
        <f>MAX(0,-U219)</f>
        <v>0</v>
      </c>
      <c r="W219" cm="1">
        <f t="array" ref="W219">W218*PRODUCT(1/(1+'CIR Scenarios'!X40:'CIR Scenarios'!X51/12))</f>
        <v>0.8493114711250116</v>
      </c>
      <c r="X219">
        <f>V219*W219</f>
        <v>0</v>
      </c>
    </row>
    <row r="220" spans="9:24" x14ac:dyDescent="0.2">
      <c r="I220">
        <v>5</v>
      </c>
      <c r="J220">
        <v>20000000</v>
      </c>
      <c r="K220">
        <f>J220*Asset_Coupon</f>
        <v>800000</v>
      </c>
      <c r="L220">
        <v>20000000</v>
      </c>
      <c r="M220">
        <f>AVERAGE('CIR Scenarios'!X52:'CIR Scenarios'!X63)</f>
        <v>4.1462725728623334E-2</v>
      </c>
      <c r="N220">
        <f>IF(U219&gt;0,U219*M220,0)</f>
        <v>3391305.2384813866</v>
      </c>
      <c r="O220">
        <f>K220+L220+N220</f>
        <v>24191305.238481387</v>
      </c>
      <c r="P220">
        <f>FABN_Face*FABN_Rate</f>
        <v>3500000.0000000005</v>
      </c>
      <c r="Q220">
        <v>100000000</v>
      </c>
      <c r="R220">
        <f>Expenses</f>
        <v>50000</v>
      </c>
      <c r="S220">
        <f>P220+Q220+R220</f>
        <v>103550000</v>
      </c>
      <c r="T220">
        <f>O220-S220</f>
        <v>-79358694.761518613</v>
      </c>
      <c r="U220">
        <f>U219+T220</f>
        <v>2432966.9994021505</v>
      </c>
      <c r="V220">
        <f>MAX(0,-U220)</f>
        <v>0</v>
      </c>
      <c r="W220" cm="1">
        <f t="array" ref="W220">W219*PRODUCT(1/(1+'CIR Scenarios'!X52:'CIR Scenarios'!X63/12))</f>
        <v>0.8148769582698322</v>
      </c>
      <c r="X220">
        <f>V220*W220</f>
        <v>0</v>
      </c>
    </row>
    <row r="221" spans="9:24" x14ac:dyDescent="0.2">
      <c r="U221">
        <f>U220</f>
        <v>2432966.9994021505</v>
      </c>
      <c r="V221">
        <f>MAX(0,-U221)</f>
        <v>0</v>
      </c>
      <c r="W221">
        <f>MATCH(MAX(X216:X220),X216:X220,0)</f>
        <v>1</v>
      </c>
      <c r="X221">
        <f>MAX(X216:X220)</f>
        <v>0</v>
      </c>
    </row>
    <row r="223" spans="9:24" x14ac:dyDescent="0.2">
      <c r="I223">
        <v>1</v>
      </c>
      <c r="J223">
        <v>100000000</v>
      </c>
      <c r="K223">
        <f>J223*Asset_Coupon</f>
        <v>4000000</v>
      </c>
      <c r="L223">
        <v>20000000</v>
      </c>
      <c r="M223">
        <f>AVERAGE('CIR Scenarios'!Y4:'CIR Scenarios'!Y15)</f>
        <v>2.9803362936509845E-2</v>
      </c>
      <c r="N223">
        <v>0</v>
      </c>
      <c r="O223">
        <f>K223+L223+N223</f>
        <v>24000000</v>
      </c>
      <c r="P223">
        <f>FABN_Face*FABN_Rate</f>
        <v>3500000.0000000005</v>
      </c>
      <c r="Q223">
        <v>0</v>
      </c>
      <c r="R223">
        <f>Expenses</f>
        <v>50000</v>
      </c>
      <c r="S223">
        <f>P223+Q223+R223</f>
        <v>3550000.0000000005</v>
      </c>
      <c r="T223">
        <f>O223-S223</f>
        <v>20450000</v>
      </c>
      <c r="U223">
        <f>T223</f>
        <v>20450000</v>
      </c>
      <c r="V223">
        <f>MAX(0,-U223)</f>
        <v>0</v>
      </c>
      <c r="W223" cm="1">
        <f t="array" ref="W223">PRODUCT(1/(1+'CIR Scenarios'!Y4:'CIR Scenarios'!Y15/12))</f>
        <v>0.97067257801252715</v>
      </c>
      <c r="X223">
        <f>V223*W223</f>
        <v>0</v>
      </c>
    </row>
    <row r="224" spans="9:24" x14ac:dyDescent="0.2">
      <c r="I224">
        <v>2</v>
      </c>
      <c r="J224">
        <v>80000000</v>
      </c>
      <c r="K224">
        <f>J224*Asset_Coupon</f>
        <v>3200000</v>
      </c>
      <c r="L224">
        <v>20000000</v>
      </c>
      <c r="M224">
        <f>AVERAGE('CIR Scenarios'!Y16:'CIR Scenarios'!Y27)</f>
        <v>2.6612840451552242E-2</v>
      </c>
      <c r="N224">
        <f>IF(U223&gt;0,U223*M224,0)</f>
        <v>544232.5872342434</v>
      </c>
      <c r="O224">
        <f>K224+L224+N224</f>
        <v>23744232.587234244</v>
      </c>
      <c r="P224">
        <f>FABN_Face*FABN_Rate</f>
        <v>3500000.0000000005</v>
      </c>
      <c r="Q224">
        <v>0</v>
      </c>
      <c r="R224">
        <f>Expenses</f>
        <v>50000</v>
      </c>
      <c r="S224">
        <f>P224+Q224+R224</f>
        <v>3550000.0000000005</v>
      </c>
      <c r="T224">
        <f>O224-S224</f>
        <v>20194232.587234244</v>
      </c>
      <c r="U224">
        <f>U223+T224</f>
        <v>40644232.587234244</v>
      </c>
      <c r="V224">
        <f>MAX(0,-U224)</f>
        <v>0</v>
      </c>
      <c r="W224" cm="1">
        <f t="array" ref="W224">W223*PRODUCT(1/(1+'CIR Scenarios'!Y16:'CIR Scenarios'!Y27/12))</f>
        <v>0.94520924043386467</v>
      </c>
      <c r="X224">
        <f>V224*W224</f>
        <v>0</v>
      </c>
    </row>
    <row r="225" spans="9:24" x14ac:dyDescent="0.2">
      <c r="I225">
        <v>3</v>
      </c>
      <c r="J225">
        <v>60000000</v>
      </c>
      <c r="K225">
        <f>J225*Asset_Coupon</f>
        <v>2400000</v>
      </c>
      <c r="L225">
        <v>20000000</v>
      </c>
      <c r="M225">
        <f>AVERAGE('CIR Scenarios'!Y28:'CIR Scenarios'!Y39)</f>
        <v>2.0719470191341082E-2</v>
      </c>
      <c r="N225">
        <f>IF(U224&gt;0,U224*M225,0)</f>
        <v>842126.96554113377</v>
      </c>
      <c r="O225">
        <f>K225+L225+N225</f>
        <v>23242126.965541136</v>
      </c>
      <c r="P225">
        <f>FABN_Face*FABN_Rate</f>
        <v>3500000.0000000005</v>
      </c>
      <c r="Q225">
        <v>0</v>
      </c>
      <c r="R225">
        <f>Expenses</f>
        <v>50000</v>
      </c>
      <c r="S225">
        <f>P225+Q225+R225</f>
        <v>3550000.0000000005</v>
      </c>
      <c r="T225">
        <f>O225-S225</f>
        <v>19692126.965541136</v>
      </c>
      <c r="U225">
        <f>U224+T225</f>
        <v>60336359.552775383</v>
      </c>
      <c r="V225">
        <f>MAX(0,-U225)</f>
        <v>0</v>
      </c>
      <c r="W225" cm="1">
        <f t="array" ref="W225">W224*PRODUCT(1/(1+'CIR Scenarios'!Y28:'CIR Scenarios'!Y39/12))</f>
        <v>0.92584325427509417</v>
      </c>
      <c r="X225">
        <f>V225*W225</f>
        <v>0</v>
      </c>
    </row>
    <row r="226" spans="9:24" x14ac:dyDescent="0.2">
      <c r="I226">
        <v>4</v>
      </c>
      <c r="J226">
        <v>40000000</v>
      </c>
      <c r="K226">
        <f>J226*Asset_Coupon</f>
        <v>1600000</v>
      </c>
      <c r="L226">
        <v>20000000</v>
      </c>
      <c r="M226">
        <f>AVERAGE('CIR Scenarios'!Y40:'CIR Scenarios'!Y51)</f>
        <v>2.6560138464381877E-2</v>
      </c>
      <c r="N226">
        <f>IF(U225&gt;0,U225*M226,0)</f>
        <v>1602542.0641584443</v>
      </c>
      <c r="O226">
        <f>K226+L226+N226</f>
        <v>23202542.064158443</v>
      </c>
      <c r="P226">
        <f>FABN_Face*FABN_Rate</f>
        <v>3500000.0000000005</v>
      </c>
      <c r="Q226">
        <v>0</v>
      </c>
      <c r="R226">
        <f>Expenses</f>
        <v>50000</v>
      </c>
      <c r="S226">
        <f>P226+Q226+R226</f>
        <v>3550000.0000000005</v>
      </c>
      <c r="T226">
        <f>O226-S226</f>
        <v>19652542.064158443</v>
      </c>
      <c r="U226">
        <f>U225+T226</f>
        <v>79988901.616933823</v>
      </c>
      <c r="V226">
        <f>MAX(0,-U226)</f>
        <v>0</v>
      </c>
      <c r="W226" cm="1">
        <f t="array" ref="W226">W225*PRODUCT(1/(1+'CIR Scenarios'!Y40:'CIR Scenarios'!Y51/12))</f>
        <v>0.90160314632590199</v>
      </c>
      <c r="X226">
        <f>V226*W226</f>
        <v>0</v>
      </c>
    </row>
    <row r="227" spans="9:24" x14ac:dyDescent="0.2">
      <c r="I227">
        <v>5</v>
      </c>
      <c r="J227">
        <v>20000000</v>
      </c>
      <c r="K227">
        <f>J227*Asset_Coupon</f>
        <v>800000</v>
      </c>
      <c r="L227">
        <v>20000000</v>
      </c>
      <c r="M227">
        <f>AVERAGE('CIR Scenarios'!Y52:'CIR Scenarios'!Y63)</f>
        <v>2.1972790680883387E-2</v>
      </c>
      <c r="N227">
        <f>IF(U226&gt;0,U226*M227,0)</f>
        <v>1757579.3920226616</v>
      </c>
      <c r="O227">
        <f>K227+L227+N227</f>
        <v>22557579.392022662</v>
      </c>
      <c r="P227">
        <f>FABN_Face*FABN_Rate</f>
        <v>3500000.0000000005</v>
      </c>
      <c r="Q227">
        <v>100000000</v>
      </c>
      <c r="R227">
        <f>Expenses</f>
        <v>50000</v>
      </c>
      <c r="S227">
        <f>P227+Q227+R227</f>
        <v>103550000</v>
      </c>
      <c r="T227">
        <f>O227-S227</f>
        <v>-80992420.607977331</v>
      </c>
      <c r="U227">
        <f>U226+T227</f>
        <v>-1003518.9910435081</v>
      </c>
      <c r="V227">
        <f>MAX(0,-U227)</f>
        <v>1003518.9910435081</v>
      </c>
      <c r="W227" cm="1">
        <f t="array" ref="W227">W226*PRODUCT(1/(1+'CIR Scenarios'!Y52:'CIR Scenarios'!Y63/12))</f>
        <v>0.88202650873150767</v>
      </c>
      <c r="X227">
        <f>V227*W227</f>
        <v>885130.35211587057</v>
      </c>
    </row>
    <row r="228" spans="9:24" x14ac:dyDescent="0.2">
      <c r="U228">
        <f>U227</f>
        <v>-1003518.9910435081</v>
      </c>
      <c r="V228">
        <f>MAX(0,-U228)</f>
        <v>1003518.9910435081</v>
      </c>
      <c r="W228">
        <f>MATCH(MAX(X223:X227),X223:X227,0)</f>
        <v>5</v>
      </c>
      <c r="X228">
        <f>MAX(X223:X227)</f>
        <v>885130.35211587057</v>
      </c>
    </row>
    <row r="230" spans="9:24" x14ac:dyDescent="0.2">
      <c r="I230">
        <v>1</v>
      </c>
      <c r="J230">
        <v>100000000</v>
      </c>
      <c r="K230">
        <f>J230*Asset_Coupon</f>
        <v>4000000</v>
      </c>
      <c r="L230">
        <v>20000000</v>
      </c>
      <c r="M230">
        <f>AVERAGE('CIR Scenarios'!Z4:'CIR Scenarios'!Z15)</f>
        <v>4.4380793394223711E-2</v>
      </c>
      <c r="N230">
        <v>0</v>
      </c>
      <c r="O230">
        <f>K230+L230+N230</f>
        <v>24000000</v>
      </c>
      <c r="P230">
        <f>FABN_Face*FABN_Rate</f>
        <v>3500000.0000000005</v>
      </c>
      <c r="Q230">
        <v>0</v>
      </c>
      <c r="R230">
        <f>Expenses</f>
        <v>50000</v>
      </c>
      <c r="S230">
        <f>P230+Q230+R230</f>
        <v>3550000.0000000005</v>
      </c>
      <c r="T230">
        <f>O230-S230</f>
        <v>20450000</v>
      </c>
      <c r="U230">
        <f>T230</f>
        <v>20450000</v>
      </c>
      <c r="V230">
        <f>MAX(0,-U230)</f>
        <v>0</v>
      </c>
      <c r="W230" cm="1">
        <f t="array" ref="W230">PRODUCT(1/(1+'CIR Scenarios'!Z4:'CIR Scenarios'!Z15/12))</f>
        <v>0.95667002747790508</v>
      </c>
      <c r="X230">
        <f>V230*W230</f>
        <v>0</v>
      </c>
    </row>
    <row r="231" spans="9:24" x14ac:dyDescent="0.2">
      <c r="I231">
        <v>2</v>
      </c>
      <c r="J231">
        <v>80000000</v>
      </c>
      <c r="K231">
        <f>J231*Asset_Coupon</f>
        <v>3200000</v>
      </c>
      <c r="L231">
        <v>20000000</v>
      </c>
      <c r="M231">
        <f>AVERAGE('CIR Scenarios'!Z16:'CIR Scenarios'!Z27)</f>
        <v>4.7395177465270895E-2</v>
      </c>
      <c r="N231">
        <f>IF(U230&gt;0,U230*M231,0)</f>
        <v>969231.3791647898</v>
      </c>
      <c r="O231">
        <f>K231+L231+N231</f>
        <v>24169231.379164789</v>
      </c>
      <c r="P231">
        <f>FABN_Face*FABN_Rate</f>
        <v>3500000.0000000005</v>
      </c>
      <c r="Q231">
        <v>0</v>
      </c>
      <c r="R231">
        <f>Expenses</f>
        <v>50000</v>
      </c>
      <c r="S231">
        <f>P231+Q231+R231</f>
        <v>3550000.0000000005</v>
      </c>
      <c r="T231">
        <f>O231-S231</f>
        <v>20619231.379164789</v>
      </c>
      <c r="U231">
        <f>U230+T231</f>
        <v>41069231.379164785</v>
      </c>
      <c r="V231">
        <f>MAX(0,-U231)</f>
        <v>0</v>
      </c>
      <c r="W231" cm="1">
        <f t="array" ref="W231">W230*PRODUCT(1/(1+'CIR Scenarios'!Z16:'CIR Scenarios'!Z27/12))</f>
        <v>0.91247166327143137</v>
      </c>
      <c r="X231">
        <f>V231*W231</f>
        <v>0</v>
      </c>
    </row>
    <row r="232" spans="9:24" x14ac:dyDescent="0.2">
      <c r="I232">
        <v>3</v>
      </c>
      <c r="J232">
        <v>60000000</v>
      </c>
      <c r="K232">
        <f>J232*Asset_Coupon</f>
        <v>2400000</v>
      </c>
      <c r="L232">
        <v>20000000</v>
      </c>
      <c r="M232">
        <f>AVERAGE('CIR Scenarios'!Z28:'CIR Scenarios'!Z39)</f>
        <v>3.726617867313025E-2</v>
      </c>
      <c r="N232">
        <f>IF(U231&gt;0,U231*M232,0)</f>
        <v>1530493.3145440824</v>
      </c>
      <c r="O232">
        <f>K232+L232+N232</f>
        <v>23930493.314544082</v>
      </c>
      <c r="P232">
        <f>FABN_Face*FABN_Rate</f>
        <v>3500000.0000000005</v>
      </c>
      <c r="Q232">
        <v>0</v>
      </c>
      <c r="R232">
        <f>Expenses</f>
        <v>50000</v>
      </c>
      <c r="S232">
        <f>P232+Q232+R232</f>
        <v>3550000.0000000005</v>
      </c>
      <c r="T232">
        <f>O232-S232</f>
        <v>20380493.314544082</v>
      </c>
      <c r="U232">
        <f>U231+T232</f>
        <v>61449724.693708867</v>
      </c>
      <c r="V232">
        <f>MAX(0,-U232)</f>
        <v>0</v>
      </c>
      <c r="W232" cm="1">
        <f t="array" ref="W232">W231*PRODUCT(1/(1+'CIR Scenarios'!Z28:'CIR Scenarios'!Z39/12))</f>
        <v>0.87914512372099063</v>
      </c>
      <c r="X232">
        <f>V232*W232</f>
        <v>0</v>
      </c>
    </row>
    <row r="233" spans="9:24" x14ac:dyDescent="0.2">
      <c r="I233">
        <v>4</v>
      </c>
      <c r="J233">
        <v>40000000</v>
      </c>
      <c r="K233">
        <f>J233*Asset_Coupon</f>
        <v>1600000</v>
      </c>
      <c r="L233">
        <v>20000000</v>
      </c>
      <c r="M233">
        <f>AVERAGE('CIR Scenarios'!Z40:'CIR Scenarios'!Z51)</f>
        <v>3.6639688273024447E-2</v>
      </c>
      <c r="N233">
        <f>IF(U232&gt;0,U232*M233,0)</f>
        <v>2251498.7572406656</v>
      </c>
      <c r="O233">
        <f>K233+L233+N233</f>
        <v>23851498.757240664</v>
      </c>
      <c r="P233">
        <f>FABN_Face*FABN_Rate</f>
        <v>3500000.0000000005</v>
      </c>
      <c r="Q233">
        <v>0</v>
      </c>
      <c r="R233">
        <f>Expenses</f>
        <v>50000</v>
      </c>
      <c r="S233">
        <f>P233+Q233+R233</f>
        <v>3550000.0000000005</v>
      </c>
      <c r="T233">
        <f>O233-S233</f>
        <v>20301498.757240664</v>
      </c>
      <c r="U233">
        <f>U232+T233</f>
        <v>81751223.450949535</v>
      </c>
      <c r="V233">
        <f>MAX(0,-U233)</f>
        <v>0</v>
      </c>
      <c r="W233" cm="1">
        <f t="array" ref="W233">W232*PRODUCT(1/(1+'CIR Scenarios'!Z40:'CIR Scenarios'!Z51/12))</f>
        <v>0.84756425927685719</v>
      </c>
      <c r="X233">
        <f>V233*W233</f>
        <v>0</v>
      </c>
    </row>
    <row r="234" spans="9:24" x14ac:dyDescent="0.2">
      <c r="I234">
        <v>5</v>
      </c>
      <c r="J234">
        <v>20000000</v>
      </c>
      <c r="K234">
        <f>J234*Asset_Coupon</f>
        <v>800000</v>
      </c>
      <c r="L234">
        <v>20000000</v>
      </c>
      <c r="M234">
        <f>AVERAGE('CIR Scenarios'!Z52:'CIR Scenarios'!Z63)</f>
        <v>3.4467206216046785E-2</v>
      </c>
      <c r="N234">
        <f>IF(U233&gt;0,U233*M234,0)</f>
        <v>2817736.2770979977</v>
      </c>
      <c r="O234">
        <f>K234+L234+N234</f>
        <v>23617736.277097996</v>
      </c>
      <c r="P234">
        <f>FABN_Face*FABN_Rate</f>
        <v>3500000.0000000005</v>
      </c>
      <c r="Q234">
        <v>100000000</v>
      </c>
      <c r="R234">
        <f>Expenses</f>
        <v>50000</v>
      </c>
      <c r="S234">
        <f>P234+Q234+R234</f>
        <v>103550000</v>
      </c>
      <c r="T234">
        <f>O234-S234</f>
        <v>-79932263.722902</v>
      </c>
      <c r="U234">
        <f>U233+T234</f>
        <v>1818959.7280475348</v>
      </c>
      <c r="V234">
        <f>MAX(0,-U234)</f>
        <v>0</v>
      </c>
      <c r="W234" cm="1">
        <f t="array" ref="W234">W233*PRODUCT(1/(1+'CIR Scenarios'!Z52:'CIR Scenarios'!Z63/12))</f>
        <v>0.81888986094916649</v>
      </c>
      <c r="X234">
        <f>V234*W234</f>
        <v>0</v>
      </c>
    </row>
    <row r="235" spans="9:24" x14ac:dyDescent="0.2">
      <c r="U235">
        <f>U234</f>
        <v>1818959.7280475348</v>
      </c>
      <c r="V235">
        <f>MAX(0,-U235)</f>
        <v>0</v>
      </c>
      <c r="W235">
        <f>MATCH(MAX(X230:X234),X230:X234,0)</f>
        <v>1</v>
      </c>
      <c r="X235">
        <f>MAX(X230:X234)</f>
        <v>0</v>
      </c>
    </row>
    <row r="237" spans="9:24" x14ac:dyDescent="0.2">
      <c r="I237">
        <v>1</v>
      </c>
      <c r="J237">
        <v>100000000</v>
      </c>
      <c r="K237">
        <f>J237*Asset_Coupon</f>
        <v>4000000</v>
      </c>
      <c r="L237">
        <v>20000000</v>
      </c>
      <c r="M237">
        <f>AVERAGE('CIR Scenarios'!AA4:'CIR Scenarios'!AA15)</f>
        <v>4.405011048521363E-2</v>
      </c>
      <c r="N237">
        <v>0</v>
      </c>
      <c r="O237">
        <f>K237+L237+N237</f>
        <v>24000000</v>
      </c>
      <c r="P237">
        <f>FABN_Face*FABN_Rate</f>
        <v>3500000.0000000005</v>
      </c>
      <c r="Q237">
        <v>0</v>
      </c>
      <c r="R237">
        <f>Expenses</f>
        <v>50000</v>
      </c>
      <c r="S237">
        <f>P237+Q237+R237</f>
        <v>3550000.0000000005</v>
      </c>
      <c r="T237">
        <f>O237-S237</f>
        <v>20450000</v>
      </c>
      <c r="U237">
        <f>T237</f>
        <v>20450000</v>
      </c>
      <c r="V237">
        <f>MAX(0,-U237)</f>
        <v>0</v>
      </c>
      <c r="W237" cm="1">
        <f t="array" ref="W237">PRODUCT(1/(1+'CIR Scenarios'!AA4:'CIR Scenarios'!AA15/12))</f>
        <v>0.95698417604983743</v>
      </c>
      <c r="X237">
        <f>V237*W237</f>
        <v>0</v>
      </c>
    </row>
    <row r="238" spans="9:24" x14ac:dyDescent="0.2">
      <c r="I238">
        <v>2</v>
      </c>
      <c r="J238">
        <v>80000000</v>
      </c>
      <c r="K238">
        <f>J238*Asset_Coupon</f>
        <v>3200000</v>
      </c>
      <c r="L238">
        <v>20000000</v>
      </c>
      <c r="M238">
        <f>AVERAGE('CIR Scenarios'!AA16:'CIR Scenarios'!AA27)</f>
        <v>4.2227096904894734E-2</v>
      </c>
      <c r="N238">
        <f>IF(U237&gt;0,U237*M238,0)</f>
        <v>863544.13170509727</v>
      </c>
      <c r="O238">
        <f>K238+L238+N238</f>
        <v>24063544.131705098</v>
      </c>
      <c r="P238">
        <f>FABN_Face*FABN_Rate</f>
        <v>3500000.0000000005</v>
      </c>
      <c r="Q238">
        <v>0</v>
      </c>
      <c r="R238">
        <f>Expenses</f>
        <v>50000</v>
      </c>
      <c r="S238">
        <f>P238+Q238+R238</f>
        <v>3550000.0000000005</v>
      </c>
      <c r="T238">
        <f>O238-S238</f>
        <v>20513544.131705098</v>
      </c>
      <c r="U238">
        <f>U237+T238</f>
        <v>40963544.131705098</v>
      </c>
      <c r="V238">
        <f>MAX(0,-U238)</f>
        <v>0</v>
      </c>
      <c r="W238" cm="1">
        <f t="array" ref="W238">W237*PRODUCT(1/(1+'CIR Scenarios'!AA16:'CIR Scenarios'!AA27/12))</f>
        <v>0.91748341240124476</v>
      </c>
      <c r="X238">
        <f>V238*W238</f>
        <v>0</v>
      </c>
    </row>
    <row r="239" spans="9:24" x14ac:dyDescent="0.2">
      <c r="I239">
        <v>3</v>
      </c>
      <c r="J239">
        <v>60000000</v>
      </c>
      <c r="K239">
        <f>J239*Asset_Coupon</f>
        <v>2400000</v>
      </c>
      <c r="L239">
        <v>20000000</v>
      </c>
      <c r="M239">
        <f>AVERAGE('CIR Scenarios'!AA28:'CIR Scenarios'!AA39)</f>
        <v>5.574667751923576E-2</v>
      </c>
      <c r="N239">
        <f>IF(U238&gt;0,U238*M239,0)</f>
        <v>2283581.4847551463</v>
      </c>
      <c r="O239">
        <f>K239+L239+N239</f>
        <v>24683581.484755147</v>
      </c>
      <c r="P239">
        <f>FABN_Face*FABN_Rate</f>
        <v>3500000.0000000005</v>
      </c>
      <c r="Q239">
        <v>0</v>
      </c>
      <c r="R239">
        <f>Expenses</f>
        <v>50000</v>
      </c>
      <c r="S239">
        <f>P239+Q239+R239</f>
        <v>3550000.0000000005</v>
      </c>
      <c r="T239">
        <f>O239-S239</f>
        <v>21133581.484755147</v>
      </c>
      <c r="U239">
        <f>U238+T239</f>
        <v>62097125.616460249</v>
      </c>
      <c r="V239">
        <f>MAX(0,-U239)</f>
        <v>0</v>
      </c>
      <c r="W239" cm="1">
        <f t="array" ref="W239">W238*PRODUCT(1/(1+'CIR Scenarios'!AA28:'CIR Scenarios'!AA39/12))</f>
        <v>0.86784881124851432</v>
      </c>
      <c r="X239">
        <f>V239*W239</f>
        <v>0</v>
      </c>
    </row>
    <row r="240" spans="9:24" x14ac:dyDescent="0.2">
      <c r="I240">
        <v>4</v>
      </c>
      <c r="J240">
        <v>40000000</v>
      </c>
      <c r="K240">
        <f>J240*Asset_Coupon</f>
        <v>1600000</v>
      </c>
      <c r="L240">
        <v>20000000</v>
      </c>
      <c r="M240">
        <f>AVERAGE('CIR Scenarios'!AA40:'CIR Scenarios'!AA51)</f>
        <v>7.0319936771470581E-2</v>
      </c>
      <c r="N240">
        <f>IF(U239&gt;0,U239*M240,0)</f>
        <v>4366665.9470395511</v>
      </c>
      <c r="O240">
        <f>K240+L240+N240</f>
        <v>25966665.947039552</v>
      </c>
      <c r="P240">
        <f>FABN_Face*FABN_Rate</f>
        <v>3500000.0000000005</v>
      </c>
      <c r="Q240">
        <v>0</v>
      </c>
      <c r="R240">
        <f>Expenses</f>
        <v>50000</v>
      </c>
      <c r="S240">
        <f>P240+Q240+R240</f>
        <v>3550000.0000000005</v>
      </c>
      <c r="T240">
        <f>O240-S240</f>
        <v>22416665.947039552</v>
      </c>
      <c r="U240">
        <f>U239+T240</f>
        <v>84513791.563499808</v>
      </c>
      <c r="V240">
        <f>MAX(0,-U240)</f>
        <v>0</v>
      </c>
      <c r="W240" cm="1">
        <f t="array" ref="W240">W239*PRODUCT(1/(1+'CIR Scenarios'!AA40:'CIR Scenarios'!AA51/12))</f>
        <v>0.80908593487242664</v>
      </c>
      <c r="X240">
        <f>V240*W240</f>
        <v>0</v>
      </c>
    </row>
    <row r="241" spans="9:24" x14ac:dyDescent="0.2">
      <c r="I241">
        <v>5</v>
      </c>
      <c r="J241">
        <v>20000000</v>
      </c>
      <c r="K241">
        <f>J241*Asset_Coupon</f>
        <v>800000</v>
      </c>
      <c r="L241">
        <v>20000000</v>
      </c>
      <c r="M241">
        <f>AVERAGE('CIR Scenarios'!AA52:'CIR Scenarios'!AA63)</f>
        <v>7.5791491225948929E-2</v>
      </c>
      <c r="N241">
        <f>IF(U240&gt;0,U240*M241,0)</f>
        <v>6405426.2917566719</v>
      </c>
      <c r="O241">
        <f>K241+L241+N241</f>
        <v>27205426.291756671</v>
      </c>
      <c r="P241">
        <f>FABN_Face*FABN_Rate</f>
        <v>3500000.0000000005</v>
      </c>
      <c r="Q241">
        <v>100000000</v>
      </c>
      <c r="R241">
        <f>Expenses</f>
        <v>50000</v>
      </c>
      <c r="S241">
        <f>P241+Q241+R241</f>
        <v>103550000</v>
      </c>
      <c r="T241">
        <f>O241-S241</f>
        <v>-76344573.708243325</v>
      </c>
      <c r="U241">
        <f>U240+T241</f>
        <v>8169217.855256483</v>
      </c>
      <c r="V241">
        <f>MAX(0,-U241)</f>
        <v>0</v>
      </c>
      <c r="W241" cm="1">
        <f t="array" ref="W241">W240*PRODUCT(1/(1+'CIR Scenarios'!AA52:'CIR Scenarios'!AA63/12))</f>
        <v>0.75021098151628585</v>
      </c>
      <c r="X241">
        <f>V241*W241</f>
        <v>0</v>
      </c>
    </row>
    <row r="242" spans="9:24" x14ac:dyDescent="0.2">
      <c r="U242">
        <f>U241</f>
        <v>8169217.855256483</v>
      </c>
      <c r="V242">
        <f>MAX(0,-U242)</f>
        <v>0</v>
      </c>
      <c r="W242">
        <f>MATCH(MAX(X237:X241),X237:X241,0)</f>
        <v>1</v>
      </c>
      <c r="X242">
        <f>MAX(X237:X241)</f>
        <v>0</v>
      </c>
    </row>
    <row r="244" spans="9:24" x14ac:dyDescent="0.2">
      <c r="I244">
        <v>1</v>
      </c>
      <c r="J244">
        <v>100000000</v>
      </c>
      <c r="K244">
        <f>J244*Asset_Coupon</f>
        <v>4000000</v>
      </c>
      <c r="L244">
        <v>20000000</v>
      </c>
      <c r="M244">
        <f>AVERAGE('CIR Scenarios'!AB4:'CIR Scenarios'!AB15)</f>
        <v>4.1355913095338426E-2</v>
      </c>
      <c r="N244">
        <v>0</v>
      </c>
      <c r="O244">
        <f>K244+L244+N244</f>
        <v>24000000</v>
      </c>
      <c r="P244">
        <f>FABN_Face*FABN_Rate</f>
        <v>3500000.0000000005</v>
      </c>
      <c r="Q244">
        <v>0</v>
      </c>
      <c r="R244">
        <f>Expenses</f>
        <v>50000</v>
      </c>
      <c r="S244">
        <f>P244+Q244+R244</f>
        <v>3550000.0000000005</v>
      </c>
      <c r="T244">
        <f>O244-S244</f>
        <v>20450000</v>
      </c>
      <c r="U244">
        <f>T244</f>
        <v>20450000</v>
      </c>
      <c r="V244">
        <f>MAX(0,-U244)</f>
        <v>0</v>
      </c>
      <c r="W244" cm="1">
        <f t="array" ref="W244">PRODUCT(1/(1+'CIR Scenarios'!AB4:'CIR Scenarios'!AB15/12))</f>
        <v>0.95955617856339182</v>
      </c>
      <c r="X244">
        <f>V244*W244</f>
        <v>0</v>
      </c>
    </row>
    <row r="245" spans="9:24" x14ac:dyDescent="0.2">
      <c r="I245">
        <v>2</v>
      </c>
      <c r="J245">
        <v>80000000</v>
      </c>
      <c r="K245">
        <f>J245*Asset_Coupon</f>
        <v>3200000</v>
      </c>
      <c r="L245">
        <v>20000000</v>
      </c>
      <c r="M245">
        <f>AVERAGE('CIR Scenarios'!AB16:'CIR Scenarios'!AB27)</f>
        <v>4.1756237628561073E-2</v>
      </c>
      <c r="N245">
        <f>IF(U244&gt;0,U244*M245,0)</f>
        <v>853915.05950407393</v>
      </c>
      <c r="O245">
        <f>K245+L245+N245</f>
        <v>24053915.059504073</v>
      </c>
      <c r="P245">
        <f>FABN_Face*FABN_Rate</f>
        <v>3500000.0000000005</v>
      </c>
      <c r="Q245">
        <v>0</v>
      </c>
      <c r="R245">
        <f>Expenses</f>
        <v>50000</v>
      </c>
      <c r="S245">
        <f>P245+Q245+R245</f>
        <v>3550000.0000000005</v>
      </c>
      <c r="T245">
        <f>O245-S245</f>
        <v>20503915.059504073</v>
      </c>
      <c r="U245">
        <f>U244+T245</f>
        <v>40953915.059504077</v>
      </c>
      <c r="V245">
        <f>MAX(0,-U245)</f>
        <v>0</v>
      </c>
      <c r="W245" cm="1">
        <f t="array" ref="W245">W244*PRODUCT(1/(1+'CIR Scenarios'!AB16:'CIR Scenarios'!AB27/12))</f>
        <v>0.92038071973917457</v>
      </c>
      <c r="X245">
        <f>V245*W245</f>
        <v>0</v>
      </c>
    </row>
    <row r="246" spans="9:24" x14ac:dyDescent="0.2">
      <c r="I246">
        <v>3</v>
      </c>
      <c r="J246">
        <v>60000000</v>
      </c>
      <c r="K246">
        <f>J246*Asset_Coupon</f>
        <v>2400000</v>
      </c>
      <c r="L246">
        <v>20000000</v>
      </c>
      <c r="M246">
        <f>AVERAGE('CIR Scenarios'!AB28:'CIR Scenarios'!AB39)</f>
        <v>4.5340526688638222E-2</v>
      </c>
      <c r="N246">
        <f>IF(U245&gt;0,U245*M246,0)</f>
        <v>1856872.0787596675</v>
      </c>
      <c r="O246">
        <f>K246+L246+N246</f>
        <v>24256872.078759667</v>
      </c>
      <c r="P246">
        <f>FABN_Face*FABN_Rate</f>
        <v>3500000.0000000005</v>
      </c>
      <c r="Q246">
        <v>0</v>
      </c>
      <c r="R246">
        <f>Expenses</f>
        <v>50000</v>
      </c>
      <c r="S246">
        <f>P246+Q246+R246</f>
        <v>3550000.0000000005</v>
      </c>
      <c r="T246">
        <f>O246-S246</f>
        <v>20706872.078759667</v>
      </c>
      <c r="U246">
        <f>U245+T246</f>
        <v>61660787.138263747</v>
      </c>
      <c r="V246">
        <f>MAX(0,-U246)</f>
        <v>0</v>
      </c>
      <c r="W246" cm="1">
        <f t="array" ref="W246">W245*PRODUCT(1/(1+'CIR Scenarios'!AB28:'CIR Scenarios'!AB39/12))</f>
        <v>0.87965850321100181</v>
      </c>
      <c r="X246">
        <f>V246*W246</f>
        <v>0</v>
      </c>
    </row>
    <row r="247" spans="9:24" x14ac:dyDescent="0.2">
      <c r="I247">
        <v>4</v>
      </c>
      <c r="J247">
        <v>40000000</v>
      </c>
      <c r="K247">
        <f>J247*Asset_Coupon</f>
        <v>1600000</v>
      </c>
      <c r="L247">
        <v>20000000</v>
      </c>
      <c r="M247">
        <f>AVERAGE('CIR Scenarios'!AB40:'CIR Scenarios'!AB51)</f>
        <v>5.0942242249957574E-2</v>
      </c>
      <c r="N247">
        <f>IF(U246&gt;0,U246*M247,0)</f>
        <v>3141138.7557204999</v>
      </c>
      <c r="O247">
        <f>K247+L247+N247</f>
        <v>24741138.7557205</v>
      </c>
      <c r="P247">
        <f>FABN_Face*FABN_Rate</f>
        <v>3500000.0000000005</v>
      </c>
      <c r="Q247">
        <v>0</v>
      </c>
      <c r="R247">
        <f>Expenses</f>
        <v>50000</v>
      </c>
      <c r="S247">
        <f>P247+Q247+R247</f>
        <v>3550000.0000000005</v>
      </c>
      <c r="T247">
        <f>O247-S247</f>
        <v>21191138.7557205</v>
      </c>
      <c r="U247">
        <f>U246+T247</f>
        <v>82851925.893984243</v>
      </c>
      <c r="V247">
        <f>MAX(0,-U247)</f>
        <v>0</v>
      </c>
      <c r="W247" cm="1">
        <f t="array" ref="W247">W246*PRODUCT(1/(1+'CIR Scenarios'!AB40:'CIR Scenarios'!AB51/12))</f>
        <v>0.83605928761832426</v>
      </c>
      <c r="X247">
        <f>V247*W247</f>
        <v>0</v>
      </c>
    </row>
    <row r="248" spans="9:24" x14ac:dyDescent="0.2">
      <c r="I248">
        <v>5</v>
      </c>
      <c r="J248">
        <v>20000000</v>
      </c>
      <c r="K248">
        <f>J248*Asset_Coupon</f>
        <v>800000</v>
      </c>
      <c r="L248">
        <v>20000000</v>
      </c>
      <c r="M248">
        <f>AVERAGE('CIR Scenarios'!AB52:'CIR Scenarios'!AB63)</f>
        <v>5.4209736245982056E-2</v>
      </c>
      <c r="N248">
        <f>IF(U247&gt;0,U247*M248,0)</f>
        <v>4491381.0501845367</v>
      </c>
      <c r="O248">
        <f>K248+L248+N248</f>
        <v>25291381.050184537</v>
      </c>
      <c r="P248">
        <f>FABN_Face*FABN_Rate</f>
        <v>3500000.0000000005</v>
      </c>
      <c r="Q248">
        <v>100000000</v>
      </c>
      <c r="R248">
        <f>Expenses</f>
        <v>50000</v>
      </c>
      <c r="S248">
        <f>P248+Q248+R248</f>
        <v>103550000</v>
      </c>
      <c r="T248">
        <f>O248-S248</f>
        <v>-78258618.949815467</v>
      </c>
      <c r="U248">
        <f>U247+T248</f>
        <v>4593306.9441687763</v>
      </c>
      <c r="V248">
        <f>MAX(0,-U248)</f>
        <v>0</v>
      </c>
      <c r="W248" cm="1">
        <f t="array" ref="W248">W247*PRODUCT(1/(1+'CIR Scenarios'!AB52:'CIR Scenarios'!AB63/12))</f>
        <v>0.79204035806157425</v>
      </c>
      <c r="X248">
        <f>V248*W248</f>
        <v>0</v>
      </c>
    </row>
    <row r="249" spans="9:24" x14ac:dyDescent="0.2">
      <c r="U249">
        <f>U248</f>
        <v>4593306.9441687763</v>
      </c>
      <c r="V249">
        <f>MAX(0,-U249)</f>
        <v>0</v>
      </c>
      <c r="W249">
        <f>MATCH(MAX(X244:X248),X244:X248,0)</f>
        <v>1</v>
      </c>
      <c r="X249">
        <f>MAX(X244:X248)</f>
        <v>0</v>
      </c>
    </row>
    <row r="251" spans="9:24" x14ac:dyDescent="0.2">
      <c r="I251">
        <v>1</v>
      </c>
      <c r="J251">
        <v>100000000</v>
      </c>
      <c r="K251">
        <f>J251*Asset_Coupon</f>
        <v>4000000</v>
      </c>
      <c r="L251">
        <v>20000000</v>
      </c>
      <c r="M251">
        <f>AVERAGE('CIR Scenarios'!AC4:'CIR Scenarios'!AC15)</f>
        <v>4.0998720767226444E-2</v>
      </c>
      <c r="N251">
        <v>0</v>
      </c>
      <c r="O251">
        <f>K251+L251+N251</f>
        <v>24000000</v>
      </c>
      <c r="P251">
        <f>FABN_Face*FABN_Rate</f>
        <v>3500000.0000000005</v>
      </c>
      <c r="Q251">
        <v>0</v>
      </c>
      <c r="R251">
        <f>Expenses</f>
        <v>50000</v>
      </c>
      <c r="S251">
        <f>P251+Q251+R251</f>
        <v>3550000.0000000005</v>
      </c>
      <c r="T251">
        <f>O251-S251</f>
        <v>20450000</v>
      </c>
      <c r="U251">
        <f>T251</f>
        <v>20450000</v>
      </c>
      <c r="V251">
        <f>MAX(0,-U251)</f>
        <v>0</v>
      </c>
      <c r="W251" cm="1">
        <f t="array" ref="W251">PRODUCT(1/(1+'CIR Scenarios'!AC4:'CIR Scenarios'!AC15/12))</f>
        <v>0.95989875628065313</v>
      </c>
      <c r="X251">
        <f>V251*W251</f>
        <v>0</v>
      </c>
    </row>
    <row r="252" spans="9:24" x14ac:dyDescent="0.2">
      <c r="I252">
        <v>2</v>
      </c>
      <c r="J252">
        <v>80000000</v>
      </c>
      <c r="K252">
        <f>J252*Asset_Coupon</f>
        <v>3200000</v>
      </c>
      <c r="L252">
        <v>20000000</v>
      </c>
      <c r="M252">
        <f>AVERAGE('CIR Scenarios'!AC16:'CIR Scenarios'!AC27)</f>
        <v>3.9813068201184763E-2</v>
      </c>
      <c r="N252">
        <f>IF(U251&gt;0,U251*M252,0)</f>
        <v>814177.24471422844</v>
      </c>
      <c r="O252">
        <f>K252+L252+N252</f>
        <v>24014177.24471423</v>
      </c>
      <c r="P252">
        <f>FABN_Face*FABN_Rate</f>
        <v>3500000.0000000005</v>
      </c>
      <c r="Q252">
        <v>0</v>
      </c>
      <c r="R252">
        <f>Expenses</f>
        <v>50000</v>
      </c>
      <c r="S252">
        <f>P252+Q252+R252</f>
        <v>3550000.0000000005</v>
      </c>
      <c r="T252">
        <f>O252-S252</f>
        <v>20464177.24471423</v>
      </c>
      <c r="U252">
        <f>U251+T252</f>
        <v>40914177.24471423</v>
      </c>
      <c r="V252">
        <f>MAX(0,-U252)</f>
        <v>0</v>
      </c>
      <c r="W252" cm="1">
        <f t="array" ref="W252">W251*PRODUCT(1/(1+'CIR Scenarios'!AC16:'CIR Scenarios'!AC27/12))</f>
        <v>0.92249426192937523</v>
      </c>
      <c r="X252">
        <f>V252*W252</f>
        <v>0</v>
      </c>
    </row>
    <row r="253" spans="9:24" x14ac:dyDescent="0.2">
      <c r="I253">
        <v>3</v>
      </c>
      <c r="J253">
        <v>60000000</v>
      </c>
      <c r="K253">
        <f>J253*Asset_Coupon</f>
        <v>2400000</v>
      </c>
      <c r="L253">
        <v>20000000</v>
      </c>
      <c r="M253">
        <f>AVERAGE('CIR Scenarios'!AC28:'CIR Scenarios'!AC39)</f>
        <v>4.5668504317663339E-2</v>
      </c>
      <c r="N253">
        <f>IF(U252&gt;0,U252*M253,0)</f>
        <v>1868489.280153875</v>
      </c>
      <c r="O253">
        <f>K253+L253+N253</f>
        <v>24268489.280153874</v>
      </c>
      <c r="P253">
        <f>FABN_Face*FABN_Rate</f>
        <v>3500000.0000000005</v>
      </c>
      <c r="Q253">
        <v>0</v>
      </c>
      <c r="R253">
        <f>Expenses</f>
        <v>50000</v>
      </c>
      <c r="S253">
        <f>P253+Q253+R253</f>
        <v>3550000.0000000005</v>
      </c>
      <c r="T253">
        <f>O253-S253</f>
        <v>20718489.280153874</v>
      </c>
      <c r="U253">
        <f>U252+T253</f>
        <v>61632666.524868101</v>
      </c>
      <c r="V253">
        <f>MAX(0,-U253)</f>
        <v>0</v>
      </c>
      <c r="W253" cm="1">
        <f t="array" ref="W253">W252*PRODUCT(1/(1+'CIR Scenarios'!AC28:'CIR Scenarios'!AC39/12))</f>
        <v>0.88138976654135393</v>
      </c>
      <c r="X253">
        <f>V253*W253</f>
        <v>0</v>
      </c>
    </row>
    <row r="254" spans="9:24" x14ac:dyDescent="0.2">
      <c r="I254">
        <v>4</v>
      </c>
      <c r="J254">
        <v>40000000</v>
      </c>
      <c r="K254">
        <f>J254*Asset_Coupon</f>
        <v>1600000</v>
      </c>
      <c r="L254">
        <v>20000000</v>
      </c>
      <c r="M254">
        <f>AVERAGE('CIR Scenarios'!AC40:'CIR Scenarios'!AC51)</f>
        <v>6.0580358883097624E-2</v>
      </c>
      <c r="N254">
        <f>IF(U253&gt;0,U253*M254,0)</f>
        <v>3733729.056998787</v>
      </c>
      <c r="O254">
        <f>K254+L254+N254</f>
        <v>25333729.056998786</v>
      </c>
      <c r="P254">
        <f>FABN_Face*FABN_Rate</f>
        <v>3500000.0000000005</v>
      </c>
      <c r="Q254">
        <v>0</v>
      </c>
      <c r="R254">
        <f>Expenses</f>
        <v>50000</v>
      </c>
      <c r="S254">
        <f>P254+Q254+R254</f>
        <v>3550000.0000000005</v>
      </c>
      <c r="T254">
        <f>O254-S254</f>
        <v>21783729.056998786</v>
      </c>
      <c r="U254">
        <f>U253+T254</f>
        <v>83416395.58186689</v>
      </c>
      <c r="V254">
        <f>MAX(0,-U254)</f>
        <v>0</v>
      </c>
      <c r="W254" cm="1">
        <f t="array" ref="W254">W253*PRODUCT(1/(1+'CIR Scenarios'!AC40:'CIR Scenarios'!AC51/12))</f>
        <v>0.82970879569641465</v>
      </c>
      <c r="X254">
        <f>V254*W254</f>
        <v>0</v>
      </c>
    </row>
    <row r="255" spans="9:24" x14ac:dyDescent="0.2">
      <c r="I255">
        <v>5</v>
      </c>
      <c r="J255">
        <v>20000000</v>
      </c>
      <c r="K255">
        <f>J255*Asset_Coupon</f>
        <v>800000</v>
      </c>
      <c r="L255">
        <v>20000000</v>
      </c>
      <c r="M255">
        <f>AVERAGE('CIR Scenarios'!AC52:'CIR Scenarios'!AC63)</f>
        <v>8.6061338562017184E-2</v>
      </c>
      <c r="N255">
        <f>IF(U254&gt;0,U254*M255,0)</f>
        <v>7178926.6617942005</v>
      </c>
      <c r="O255">
        <f>K255+L255+N255</f>
        <v>27978926.661794201</v>
      </c>
      <c r="P255">
        <f>FABN_Face*FABN_Rate</f>
        <v>3500000.0000000005</v>
      </c>
      <c r="Q255">
        <v>100000000</v>
      </c>
      <c r="R255">
        <f>Expenses</f>
        <v>50000</v>
      </c>
      <c r="S255">
        <f>P255+Q255+R255</f>
        <v>103550000</v>
      </c>
      <c r="T255">
        <f>O255-S255</f>
        <v>-75571073.338205799</v>
      </c>
      <c r="U255">
        <f>U254+T255</f>
        <v>7845322.2436610907</v>
      </c>
      <c r="V255">
        <f>MAX(0,-U255)</f>
        <v>0</v>
      </c>
      <c r="W255" cm="1">
        <f t="array" ref="W255">W254*PRODUCT(1/(1+'CIR Scenarios'!AC52:'CIR Scenarios'!AC63/12))</f>
        <v>0.76152879978658039</v>
      </c>
      <c r="X255">
        <f>V255*W255</f>
        <v>0</v>
      </c>
    </row>
    <row r="256" spans="9:24" x14ac:dyDescent="0.2">
      <c r="U256">
        <f>U255</f>
        <v>7845322.2436610907</v>
      </c>
      <c r="V256">
        <f>MAX(0,-U256)</f>
        <v>0</v>
      </c>
      <c r="W256">
        <f>MATCH(MAX(X251:X255),X251:X255,0)</f>
        <v>1</v>
      </c>
      <c r="X256">
        <f>MAX(X251:X255)</f>
        <v>0</v>
      </c>
    </row>
    <row r="258" spans="9:24" x14ac:dyDescent="0.2">
      <c r="I258">
        <v>1</v>
      </c>
      <c r="J258">
        <v>100000000</v>
      </c>
      <c r="K258">
        <f>J258*Asset_Coupon</f>
        <v>4000000</v>
      </c>
      <c r="L258">
        <v>20000000</v>
      </c>
      <c r="M258">
        <f>AVERAGE('CIR Scenarios'!AD4:'CIR Scenarios'!AD15)</f>
        <v>3.7276604893209518E-2</v>
      </c>
      <c r="N258">
        <v>0</v>
      </c>
      <c r="O258">
        <f>K258+L258+N258</f>
        <v>24000000</v>
      </c>
      <c r="P258">
        <f>FABN_Face*FABN_Rate</f>
        <v>3500000.0000000005</v>
      </c>
      <c r="Q258">
        <v>0</v>
      </c>
      <c r="R258">
        <f>Expenses</f>
        <v>50000</v>
      </c>
      <c r="S258">
        <f>P258+Q258+R258</f>
        <v>3550000.0000000005</v>
      </c>
      <c r="T258">
        <f>O258-S258</f>
        <v>20450000</v>
      </c>
      <c r="U258">
        <f>T258</f>
        <v>20450000</v>
      </c>
      <c r="V258">
        <f>MAX(0,-U258)</f>
        <v>0</v>
      </c>
      <c r="W258" cm="1">
        <f t="array" ref="W258">PRODUCT(1/(1+'CIR Scenarios'!AD4:'CIR Scenarios'!AD15/12))</f>
        <v>0.96346611767537604</v>
      </c>
      <c r="X258">
        <f>V258*W258</f>
        <v>0</v>
      </c>
    </row>
    <row r="259" spans="9:24" x14ac:dyDescent="0.2">
      <c r="I259">
        <v>2</v>
      </c>
      <c r="J259">
        <v>80000000</v>
      </c>
      <c r="K259">
        <f>J259*Asset_Coupon</f>
        <v>3200000</v>
      </c>
      <c r="L259">
        <v>20000000</v>
      </c>
      <c r="M259">
        <f>AVERAGE('CIR Scenarios'!AD16:'CIR Scenarios'!AD27)</f>
        <v>3.2701599909184101E-2</v>
      </c>
      <c r="N259">
        <f>IF(U258&gt;0,U258*M259,0)</f>
        <v>668747.71814281482</v>
      </c>
      <c r="O259">
        <f>K259+L259+N259</f>
        <v>23868747.718142815</v>
      </c>
      <c r="P259">
        <f>FABN_Face*FABN_Rate</f>
        <v>3500000.0000000005</v>
      </c>
      <c r="Q259">
        <v>0</v>
      </c>
      <c r="R259">
        <f>Expenses</f>
        <v>50000</v>
      </c>
      <c r="S259">
        <f>P259+Q259+R259</f>
        <v>3550000.0000000005</v>
      </c>
      <c r="T259">
        <f>O259-S259</f>
        <v>20318747.718142815</v>
      </c>
      <c r="U259">
        <f>U258+T259</f>
        <v>40768747.718142815</v>
      </c>
      <c r="V259">
        <f>MAX(0,-U259)</f>
        <v>0</v>
      </c>
      <c r="W259" cm="1">
        <f t="array" ref="W259">W258*PRODUCT(1/(1+'CIR Scenarios'!AD16:'CIR Scenarios'!AD27/12))</f>
        <v>0.93251075911707082</v>
      </c>
      <c r="X259">
        <f>V259*W259</f>
        <v>0</v>
      </c>
    </row>
    <row r="260" spans="9:24" x14ac:dyDescent="0.2">
      <c r="I260">
        <v>3</v>
      </c>
      <c r="J260">
        <v>60000000</v>
      </c>
      <c r="K260">
        <f>J260*Asset_Coupon</f>
        <v>2400000</v>
      </c>
      <c r="L260">
        <v>20000000</v>
      </c>
      <c r="M260">
        <f>AVERAGE('CIR Scenarios'!AD28:'CIR Scenarios'!AD39)</f>
        <v>4.0843767136911582E-2</v>
      </c>
      <c r="N260">
        <f>IF(U259&gt;0,U259*M260,0)</f>
        <v>1665149.2382633206</v>
      </c>
      <c r="O260">
        <f>K260+L260+N260</f>
        <v>24065149.23826332</v>
      </c>
      <c r="P260">
        <f>FABN_Face*FABN_Rate</f>
        <v>3500000.0000000005</v>
      </c>
      <c r="Q260">
        <v>0</v>
      </c>
      <c r="R260">
        <f>Expenses</f>
        <v>50000</v>
      </c>
      <c r="S260">
        <f>P260+Q260+R260</f>
        <v>3550000.0000000005</v>
      </c>
      <c r="T260">
        <f>O260-S260</f>
        <v>20515149.23826332</v>
      </c>
      <c r="U260">
        <f>U259+T260</f>
        <v>61283896.956406131</v>
      </c>
      <c r="V260">
        <f>MAX(0,-U260)</f>
        <v>0</v>
      </c>
      <c r="W260" cm="1">
        <f t="array" ref="W260">W259*PRODUCT(1/(1+'CIR Scenarios'!AD28:'CIR Scenarios'!AD39/12))</f>
        <v>0.89525304626078361</v>
      </c>
      <c r="X260">
        <f>V260*W260</f>
        <v>0</v>
      </c>
    </row>
    <row r="261" spans="9:24" x14ac:dyDescent="0.2">
      <c r="I261">
        <v>4</v>
      </c>
      <c r="J261">
        <v>40000000</v>
      </c>
      <c r="K261">
        <f>J261*Asset_Coupon</f>
        <v>1600000</v>
      </c>
      <c r="L261">
        <v>20000000</v>
      </c>
      <c r="M261">
        <f>AVERAGE('CIR Scenarios'!AD40:'CIR Scenarios'!AD51)</f>
        <v>2.8315564994925574E-2</v>
      </c>
      <c r="N261">
        <f>IF(U260&gt;0,U260*M261,0)</f>
        <v>1735288.1674114394</v>
      </c>
      <c r="O261">
        <f>K261+L261+N261</f>
        <v>23335288.167411439</v>
      </c>
      <c r="P261">
        <f>FABN_Face*FABN_Rate</f>
        <v>3500000.0000000005</v>
      </c>
      <c r="Q261">
        <v>0</v>
      </c>
      <c r="R261">
        <f>Expenses</f>
        <v>50000</v>
      </c>
      <c r="S261">
        <f>P261+Q261+R261</f>
        <v>3550000.0000000005</v>
      </c>
      <c r="T261">
        <f>O261-S261</f>
        <v>19785288.167411439</v>
      </c>
      <c r="U261">
        <f>U260+T261</f>
        <v>81069185.123817563</v>
      </c>
      <c r="V261">
        <f>MAX(0,-U261)</f>
        <v>0</v>
      </c>
      <c r="W261" cm="1">
        <f t="array" ref="W261">W260*PRODUCT(1/(1+'CIR Scenarios'!AD40:'CIR Scenarios'!AD51/12))</f>
        <v>0.87028824845227226</v>
      </c>
      <c r="X261">
        <f>V261*W261</f>
        <v>0</v>
      </c>
    </row>
    <row r="262" spans="9:24" x14ac:dyDescent="0.2">
      <c r="I262">
        <v>5</v>
      </c>
      <c r="J262">
        <v>20000000</v>
      </c>
      <c r="K262">
        <f>J262*Asset_Coupon</f>
        <v>800000</v>
      </c>
      <c r="L262">
        <v>20000000</v>
      </c>
      <c r="M262">
        <f>AVERAGE('CIR Scenarios'!AD52:'CIR Scenarios'!AD63)</f>
        <v>3.3428223345351553E-2</v>
      </c>
      <c r="N262">
        <f>IF(U261&gt;0,U261*M262,0)</f>
        <v>2709998.8267446249</v>
      </c>
      <c r="O262">
        <f>K262+L262+N262</f>
        <v>23509998.826744623</v>
      </c>
      <c r="P262">
        <f>FABN_Face*FABN_Rate</f>
        <v>3500000.0000000005</v>
      </c>
      <c r="Q262">
        <v>100000000</v>
      </c>
      <c r="R262">
        <f>Expenses</f>
        <v>50000</v>
      </c>
      <c r="S262">
        <f>P262+Q262+R262</f>
        <v>103550000</v>
      </c>
      <c r="T262">
        <f>O262-S262</f>
        <v>-80040001.173255384</v>
      </c>
      <c r="U262">
        <f>U261+T262</f>
        <v>1029183.9505621791</v>
      </c>
      <c r="V262">
        <f>MAX(0,-U262)</f>
        <v>0</v>
      </c>
      <c r="W262" cm="1">
        <f t="array" ref="W262">W261*PRODUCT(1/(1+'CIR Scenarios'!AD52:'CIR Scenarios'!AD63/12))</f>
        <v>0.84171651884343202</v>
      </c>
      <c r="X262">
        <f>V262*W262</f>
        <v>0</v>
      </c>
    </row>
    <row r="263" spans="9:24" x14ac:dyDescent="0.2">
      <c r="U263">
        <f>U262</f>
        <v>1029183.9505621791</v>
      </c>
      <c r="V263">
        <f>MAX(0,-U263)</f>
        <v>0</v>
      </c>
      <c r="W263">
        <f>MATCH(MAX(X258:X262),X258:X262,0)</f>
        <v>1</v>
      </c>
      <c r="X263">
        <f>MAX(X258:X262)</f>
        <v>0</v>
      </c>
    </row>
    <row r="265" spans="9:24" x14ac:dyDescent="0.2">
      <c r="I265">
        <v>1</v>
      </c>
      <c r="J265">
        <v>100000000</v>
      </c>
      <c r="K265">
        <f>J265*Asset_Coupon</f>
        <v>4000000</v>
      </c>
      <c r="L265">
        <v>20000000</v>
      </c>
      <c r="M265">
        <f>AVERAGE('CIR Scenarios'!AE4:'CIR Scenarios'!AE15)</f>
        <v>3.6843089076996689E-2</v>
      </c>
      <c r="N265">
        <v>0</v>
      </c>
      <c r="O265">
        <f>K265+L265+N265</f>
        <v>24000000</v>
      </c>
      <c r="P265">
        <f>FABN_Face*FABN_Rate</f>
        <v>3500000.0000000005</v>
      </c>
      <c r="Q265">
        <v>0</v>
      </c>
      <c r="R265">
        <f>Expenses</f>
        <v>50000</v>
      </c>
      <c r="S265">
        <f>P265+Q265+R265</f>
        <v>3550000.0000000005</v>
      </c>
      <c r="T265">
        <f>O265-S265</f>
        <v>20450000</v>
      </c>
      <c r="U265">
        <f>T265</f>
        <v>20450000</v>
      </c>
      <c r="V265">
        <f>MAX(0,-U265)</f>
        <v>0</v>
      </c>
      <c r="W265" cm="1">
        <f t="array" ref="W265">PRODUCT(1/(1+'CIR Scenarios'!AE4:'CIR Scenarios'!AE15/12))</f>
        <v>0.96388197415603127</v>
      </c>
      <c r="X265">
        <f>V265*W265</f>
        <v>0</v>
      </c>
    </row>
    <row r="266" spans="9:24" x14ac:dyDescent="0.2">
      <c r="I266">
        <v>2</v>
      </c>
      <c r="J266">
        <v>80000000</v>
      </c>
      <c r="K266">
        <f>J266*Asset_Coupon</f>
        <v>3200000</v>
      </c>
      <c r="L266">
        <v>20000000</v>
      </c>
      <c r="M266">
        <f>AVERAGE('CIR Scenarios'!AE16:'CIR Scenarios'!AE27)</f>
        <v>2.9445441247097762E-2</v>
      </c>
      <c r="N266">
        <f>IF(U265&gt;0,U265*M266,0)</f>
        <v>602159.27350314928</v>
      </c>
      <c r="O266">
        <f>K266+L266+N266</f>
        <v>23802159.273503151</v>
      </c>
      <c r="P266">
        <f>FABN_Face*FABN_Rate</f>
        <v>3500000.0000000005</v>
      </c>
      <c r="Q266">
        <v>0</v>
      </c>
      <c r="R266">
        <f>Expenses</f>
        <v>50000</v>
      </c>
      <c r="S266">
        <f>P266+Q266+R266</f>
        <v>3550000.0000000005</v>
      </c>
      <c r="T266">
        <f>O266-S266</f>
        <v>20252159.273503151</v>
      </c>
      <c r="U266">
        <f>U265+T266</f>
        <v>40702159.273503155</v>
      </c>
      <c r="V266">
        <f>MAX(0,-U266)</f>
        <v>0</v>
      </c>
      <c r="W266" cm="1">
        <f t="array" ref="W266">W265*PRODUCT(1/(1+'CIR Scenarios'!AE16:'CIR Scenarios'!AE27/12))</f>
        <v>0.93594794577757323</v>
      </c>
      <c r="X266">
        <f>V266*W266</f>
        <v>0</v>
      </c>
    </row>
    <row r="267" spans="9:24" x14ac:dyDescent="0.2">
      <c r="I267">
        <v>3</v>
      </c>
      <c r="J267">
        <v>60000000</v>
      </c>
      <c r="K267">
        <f>J267*Asset_Coupon</f>
        <v>2400000</v>
      </c>
      <c r="L267">
        <v>20000000</v>
      </c>
      <c r="M267">
        <f>AVERAGE('CIR Scenarios'!AE28:'CIR Scenarios'!AE39)</f>
        <v>3.2386184458247293E-2</v>
      </c>
      <c r="N267">
        <f>IF(U266&gt;0,U266*M267,0)</f>
        <v>1318187.6380806337</v>
      </c>
      <c r="O267">
        <f>K267+L267+N267</f>
        <v>23718187.638080634</v>
      </c>
      <c r="P267">
        <f>FABN_Face*FABN_Rate</f>
        <v>3500000.0000000005</v>
      </c>
      <c r="Q267">
        <v>0</v>
      </c>
      <c r="R267">
        <f>Expenses</f>
        <v>50000</v>
      </c>
      <c r="S267">
        <f>P267+Q267+R267</f>
        <v>3550000.0000000005</v>
      </c>
      <c r="T267">
        <f>O267-S267</f>
        <v>20168187.638080634</v>
      </c>
      <c r="U267">
        <f>U266+T267</f>
        <v>60870346.911583789</v>
      </c>
      <c r="V267">
        <f>MAX(0,-U267)</f>
        <v>0</v>
      </c>
      <c r="W267" cm="1">
        <f t="array" ref="W267">W266*PRODUCT(1/(1+'CIR Scenarios'!AE28:'CIR Scenarios'!AE39/12))</f>
        <v>0.90616227647727565</v>
      </c>
      <c r="X267">
        <f>V267*W267</f>
        <v>0</v>
      </c>
    </row>
    <row r="268" spans="9:24" x14ac:dyDescent="0.2">
      <c r="I268">
        <v>4</v>
      </c>
      <c r="J268">
        <v>40000000</v>
      </c>
      <c r="K268">
        <f>J268*Asset_Coupon</f>
        <v>1600000</v>
      </c>
      <c r="L268">
        <v>20000000</v>
      </c>
      <c r="M268">
        <f>AVERAGE('CIR Scenarios'!AE40:'CIR Scenarios'!AE51)</f>
        <v>3.1870840120568962E-2</v>
      </c>
      <c r="N268">
        <f>IF(U267&gt;0,U267*M268,0)</f>
        <v>1939989.0945026556</v>
      </c>
      <c r="O268">
        <f>K268+L268+N268</f>
        <v>23539989.094502654</v>
      </c>
      <c r="P268">
        <f>FABN_Face*FABN_Rate</f>
        <v>3500000.0000000005</v>
      </c>
      <c r="Q268">
        <v>0</v>
      </c>
      <c r="R268">
        <f>Expenses</f>
        <v>50000</v>
      </c>
      <c r="S268">
        <f>P268+Q268+R268</f>
        <v>3550000.0000000005</v>
      </c>
      <c r="T268">
        <f>O268-S268</f>
        <v>19989989.094502654</v>
      </c>
      <c r="U268">
        <f>U267+T268</f>
        <v>80860336.006086439</v>
      </c>
      <c r="V268">
        <f>MAX(0,-U268)</f>
        <v>0</v>
      </c>
      <c r="W268" cm="1">
        <f t="array" ref="W268">W267*PRODUCT(1/(1+'CIR Scenarios'!AE40:'CIR Scenarios'!AE51/12))</f>
        <v>0.87777527096936458</v>
      </c>
      <c r="X268">
        <f>V268*W268</f>
        <v>0</v>
      </c>
    </row>
    <row r="269" spans="9:24" x14ac:dyDescent="0.2">
      <c r="I269">
        <v>5</v>
      </c>
      <c r="J269">
        <v>20000000</v>
      </c>
      <c r="K269">
        <f>J269*Asset_Coupon</f>
        <v>800000</v>
      </c>
      <c r="L269">
        <v>20000000</v>
      </c>
      <c r="M269">
        <f>AVERAGE('CIR Scenarios'!AE52:'CIR Scenarios'!AE63)</f>
        <v>3.7785862211985079E-2</v>
      </c>
      <c r="N269">
        <f>IF(U268&gt;0,U268*M269,0)</f>
        <v>3055377.5147407982</v>
      </c>
      <c r="O269">
        <f>K269+L269+N269</f>
        <v>23855377.514740799</v>
      </c>
      <c r="P269">
        <f>FABN_Face*FABN_Rate</f>
        <v>3500000.0000000005</v>
      </c>
      <c r="Q269">
        <v>100000000</v>
      </c>
      <c r="R269">
        <f>Expenses</f>
        <v>50000</v>
      </c>
      <c r="S269">
        <f>P269+Q269+R269</f>
        <v>103550000</v>
      </c>
      <c r="T269">
        <f>O269-S269</f>
        <v>-79694622.485259205</v>
      </c>
      <c r="U269">
        <f>U268+T269</f>
        <v>1165713.5208272338</v>
      </c>
      <c r="V269">
        <f>MAX(0,-U269)</f>
        <v>0</v>
      </c>
      <c r="W269" cm="1">
        <f t="array" ref="W269">W268*PRODUCT(1/(1+'CIR Scenarios'!AE52:'CIR Scenarios'!AE63/12))</f>
        <v>0.8452781497509696</v>
      </c>
      <c r="X269">
        <f>V269*W269</f>
        <v>0</v>
      </c>
    </row>
    <row r="270" spans="9:24" x14ac:dyDescent="0.2">
      <c r="U270">
        <f>U269</f>
        <v>1165713.5208272338</v>
      </c>
      <c r="V270">
        <f>MAX(0,-U270)</f>
        <v>0</v>
      </c>
      <c r="W270">
        <f>MATCH(MAX(X265:X269),X265:X269,0)</f>
        <v>1</v>
      </c>
      <c r="X270">
        <f>MAX(X265:X269)</f>
        <v>0</v>
      </c>
    </row>
    <row r="272" spans="9:24" x14ac:dyDescent="0.2">
      <c r="I272">
        <v>1</v>
      </c>
      <c r="J272">
        <v>100000000</v>
      </c>
      <c r="K272">
        <f>J272*Asset_Coupon</f>
        <v>4000000</v>
      </c>
      <c r="L272">
        <v>20000000</v>
      </c>
      <c r="M272">
        <f>AVERAGE('CIR Scenarios'!AF4:'CIR Scenarios'!AF15)</f>
        <v>3.6405806595441813E-2</v>
      </c>
      <c r="N272">
        <v>0</v>
      </c>
      <c r="O272">
        <f>K272+L272+N272</f>
        <v>24000000</v>
      </c>
      <c r="P272">
        <f>FABN_Face*FABN_Rate</f>
        <v>3500000.0000000005</v>
      </c>
      <c r="Q272">
        <v>0</v>
      </c>
      <c r="R272">
        <f>Expenses</f>
        <v>50000</v>
      </c>
      <c r="S272">
        <f>P272+Q272+R272</f>
        <v>3550000.0000000005</v>
      </c>
      <c r="T272">
        <f>O272-S272</f>
        <v>20450000</v>
      </c>
      <c r="U272">
        <f>T272</f>
        <v>20450000</v>
      </c>
      <c r="V272">
        <f>MAX(0,-U272)</f>
        <v>0</v>
      </c>
      <c r="W272" cm="1">
        <f t="array" ref="W272">PRODUCT(1/(1+'CIR Scenarios'!AF4:'CIR Scenarios'!AF15/12))</f>
        <v>0.96430288264698105</v>
      </c>
      <c r="X272">
        <f>V272*W272</f>
        <v>0</v>
      </c>
    </row>
    <row r="273" spans="9:24" x14ac:dyDescent="0.2">
      <c r="I273">
        <v>2</v>
      </c>
      <c r="J273">
        <v>80000000</v>
      </c>
      <c r="K273">
        <f>J273*Asset_Coupon</f>
        <v>3200000</v>
      </c>
      <c r="L273">
        <v>20000000</v>
      </c>
      <c r="M273">
        <f>AVERAGE('CIR Scenarios'!AF16:'CIR Scenarios'!AF27)</f>
        <v>2.6088727854310975E-2</v>
      </c>
      <c r="N273">
        <f>IF(U272&gt;0,U272*M273,0)</f>
        <v>533514.4846206595</v>
      </c>
      <c r="O273">
        <f>K273+L273+N273</f>
        <v>23733514.484620661</v>
      </c>
      <c r="P273">
        <f>FABN_Face*FABN_Rate</f>
        <v>3500000.0000000005</v>
      </c>
      <c r="Q273">
        <v>0</v>
      </c>
      <c r="R273">
        <f>Expenses</f>
        <v>50000</v>
      </c>
      <c r="S273">
        <f>P273+Q273+R273</f>
        <v>3550000.0000000005</v>
      </c>
      <c r="T273">
        <f>O273-S273</f>
        <v>20183514.484620661</v>
      </c>
      <c r="U273">
        <f>U272+T273</f>
        <v>40633514.484620661</v>
      </c>
      <c r="V273">
        <f>MAX(0,-U273)</f>
        <v>0</v>
      </c>
      <c r="W273" cm="1">
        <f t="array" ref="W273">W272*PRODUCT(1/(1+'CIR Scenarios'!AF16:'CIR Scenarios'!AF27/12))</f>
        <v>0.93949794862021185</v>
      </c>
      <c r="X273">
        <f>V273*W273</f>
        <v>0</v>
      </c>
    </row>
    <row r="274" spans="9:24" x14ac:dyDescent="0.2">
      <c r="I274">
        <v>3</v>
      </c>
      <c r="J274">
        <v>60000000</v>
      </c>
      <c r="K274">
        <f>J274*Asset_Coupon</f>
        <v>2400000</v>
      </c>
      <c r="L274">
        <v>20000000</v>
      </c>
      <c r="M274">
        <f>AVERAGE('CIR Scenarios'!AF28:'CIR Scenarios'!AF39)</f>
        <v>2.0454006401203779E-2</v>
      </c>
      <c r="N274">
        <f>IF(U273&gt;0,U273*M274,0)</f>
        <v>831118.16537183744</v>
      </c>
      <c r="O274">
        <f>K274+L274+N274</f>
        <v>23231118.165371839</v>
      </c>
      <c r="P274">
        <f>FABN_Face*FABN_Rate</f>
        <v>3500000.0000000005</v>
      </c>
      <c r="Q274">
        <v>0</v>
      </c>
      <c r="R274">
        <f>Expenses</f>
        <v>50000</v>
      </c>
      <c r="S274">
        <f>P274+Q274+R274</f>
        <v>3550000.0000000005</v>
      </c>
      <c r="T274">
        <f>O274-S274</f>
        <v>19681118.165371839</v>
      </c>
      <c r="U274">
        <f>U273+T274</f>
        <v>60314632.649992496</v>
      </c>
      <c r="V274">
        <f>MAX(0,-U274)</f>
        <v>0</v>
      </c>
      <c r="W274" cm="1">
        <f t="array" ref="W274">W273*PRODUCT(1/(1+'CIR Scenarios'!AF28:'CIR Scenarios'!AF39/12))</f>
        <v>0.92049296799764679</v>
      </c>
      <c r="X274">
        <f>V274*W274</f>
        <v>0</v>
      </c>
    </row>
    <row r="275" spans="9:24" x14ac:dyDescent="0.2">
      <c r="I275">
        <v>4</v>
      </c>
      <c r="J275">
        <v>40000000</v>
      </c>
      <c r="K275">
        <f>J275*Asset_Coupon</f>
        <v>1600000</v>
      </c>
      <c r="L275">
        <v>20000000</v>
      </c>
      <c r="M275">
        <f>AVERAGE('CIR Scenarios'!AF40:'CIR Scenarios'!AF51)</f>
        <v>2.0862514109795241E-2</v>
      </c>
      <c r="N275">
        <f>IF(U274&gt;0,U274*M275,0)</f>
        <v>1258314.8746875853</v>
      </c>
      <c r="O275">
        <f>K275+L275+N275</f>
        <v>22858314.874687586</v>
      </c>
      <c r="P275">
        <f>FABN_Face*FABN_Rate</f>
        <v>3500000.0000000005</v>
      </c>
      <c r="Q275">
        <v>0</v>
      </c>
      <c r="R275">
        <f>Expenses</f>
        <v>50000</v>
      </c>
      <c r="S275">
        <f>P275+Q275+R275</f>
        <v>3550000.0000000005</v>
      </c>
      <c r="T275">
        <f>O275-S275</f>
        <v>19308314.874687586</v>
      </c>
      <c r="U275">
        <f>U274+T275</f>
        <v>79622947.524680078</v>
      </c>
      <c r="V275">
        <f>MAX(0,-U275)</f>
        <v>0</v>
      </c>
      <c r="W275" cm="1">
        <f t="array" ref="W275">W274*PRODUCT(1/(1+'CIR Scenarios'!AF40:'CIR Scenarios'!AF51/12))</f>
        <v>0.90150463755229859</v>
      </c>
      <c r="X275">
        <f>V275*W275</f>
        <v>0</v>
      </c>
    </row>
    <row r="276" spans="9:24" x14ac:dyDescent="0.2">
      <c r="I276">
        <v>5</v>
      </c>
      <c r="J276">
        <v>20000000</v>
      </c>
      <c r="K276">
        <f>J276*Asset_Coupon</f>
        <v>800000</v>
      </c>
      <c r="L276">
        <v>20000000</v>
      </c>
      <c r="M276">
        <f>AVERAGE('CIR Scenarios'!AF52:'CIR Scenarios'!AF63)</f>
        <v>2.5080331065747256E-2</v>
      </c>
      <c r="N276">
        <f>IF(U275&gt;0,U275*M276,0)</f>
        <v>1996969.8843495974</v>
      </c>
      <c r="O276">
        <f>K276+L276+N276</f>
        <v>22796969.884349596</v>
      </c>
      <c r="P276">
        <f>FABN_Face*FABN_Rate</f>
        <v>3500000.0000000005</v>
      </c>
      <c r="Q276">
        <v>100000000</v>
      </c>
      <c r="R276">
        <f>Expenses</f>
        <v>50000</v>
      </c>
      <c r="S276">
        <f>P276+Q276+R276</f>
        <v>103550000</v>
      </c>
      <c r="T276">
        <f>O276-S276</f>
        <v>-80753030.115650401</v>
      </c>
      <c r="U276">
        <f>U275+T276</f>
        <v>-1130082.5909703225</v>
      </c>
      <c r="V276">
        <f>MAX(0,-U276)</f>
        <v>1130082.5909703225</v>
      </c>
      <c r="W276" cm="1">
        <f t="array" ref="W276">W275*PRODUCT(1/(1+'CIR Scenarios'!AF52:'CIR Scenarios'!AF63/12))</f>
        <v>0.87919929580508416</v>
      </c>
      <c r="X276">
        <f>V276*W276</f>
        <v>993567.81818269251</v>
      </c>
    </row>
    <row r="277" spans="9:24" x14ac:dyDescent="0.2">
      <c r="U277">
        <f>U276</f>
        <v>-1130082.5909703225</v>
      </c>
      <c r="V277">
        <f>MAX(0,-U277)</f>
        <v>1130082.5909703225</v>
      </c>
      <c r="W277">
        <f>MATCH(MAX(X272:X276),X272:X276,0)</f>
        <v>5</v>
      </c>
      <c r="X277">
        <f>MAX(X272:X276)</f>
        <v>993567.81818269251</v>
      </c>
    </row>
    <row r="279" spans="9:24" x14ac:dyDescent="0.2">
      <c r="I279">
        <v>1</v>
      </c>
      <c r="J279">
        <v>100000000</v>
      </c>
      <c r="K279">
        <f>J279*Asset_Coupon</f>
        <v>4000000</v>
      </c>
      <c r="L279">
        <v>20000000</v>
      </c>
      <c r="M279">
        <f>AVERAGE('CIR Scenarios'!AG4:'CIR Scenarios'!AG15)</f>
        <v>3.5462775538845283E-2</v>
      </c>
      <c r="N279">
        <v>0</v>
      </c>
      <c r="O279">
        <f>K279+L279+N279</f>
        <v>24000000</v>
      </c>
      <c r="P279">
        <f>FABN_Face*FABN_Rate</f>
        <v>3500000.0000000005</v>
      </c>
      <c r="Q279">
        <v>0</v>
      </c>
      <c r="R279">
        <f>Expenses</f>
        <v>50000</v>
      </c>
      <c r="S279">
        <f>P279+Q279+R279</f>
        <v>3550000.0000000005</v>
      </c>
      <c r="T279">
        <f>O279-S279</f>
        <v>20450000</v>
      </c>
      <c r="U279">
        <f>T279</f>
        <v>20450000</v>
      </c>
      <c r="V279">
        <f>MAX(0,-U279)</f>
        <v>0</v>
      </c>
      <c r="W279" cm="1">
        <f t="array" ref="W279">PRODUCT(1/(1+'CIR Scenarios'!AG4:'CIR Scenarios'!AG15/12))</f>
        <v>0.96521071684858062</v>
      </c>
      <c r="X279">
        <f>V279*W279</f>
        <v>0</v>
      </c>
    </row>
    <row r="280" spans="9:24" x14ac:dyDescent="0.2">
      <c r="I280">
        <v>2</v>
      </c>
      <c r="J280">
        <v>80000000</v>
      </c>
      <c r="K280">
        <f>J280*Asset_Coupon</f>
        <v>3200000</v>
      </c>
      <c r="L280">
        <v>20000000</v>
      </c>
      <c r="M280">
        <f>AVERAGE('CIR Scenarios'!AG16:'CIR Scenarios'!AG27)</f>
        <v>4.9644705845282293E-2</v>
      </c>
      <c r="N280">
        <f>IF(U279&gt;0,U279*M280,0)</f>
        <v>1015234.2345360229</v>
      </c>
      <c r="O280">
        <f>K280+L280+N280</f>
        <v>24215234.234536022</v>
      </c>
      <c r="P280">
        <f>FABN_Face*FABN_Rate</f>
        <v>3500000.0000000005</v>
      </c>
      <c r="Q280">
        <v>0</v>
      </c>
      <c r="R280">
        <f>Expenses</f>
        <v>50000</v>
      </c>
      <c r="S280">
        <f>P280+Q280+R280</f>
        <v>3550000.0000000005</v>
      </c>
      <c r="T280">
        <f>O280-S280</f>
        <v>20665234.234536022</v>
      </c>
      <c r="U280">
        <f>U279+T280</f>
        <v>41115234.234536022</v>
      </c>
      <c r="V280">
        <f>MAX(0,-U280)</f>
        <v>0</v>
      </c>
      <c r="W280" cm="1">
        <f t="array" ref="W280">W279*PRODUCT(1/(1+'CIR Scenarios'!AG16:'CIR Scenarios'!AG27/12))</f>
        <v>0.91855828891261315</v>
      </c>
      <c r="X280">
        <f>V280*W280</f>
        <v>0</v>
      </c>
    </row>
    <row r="281" spans="9:24" x14ac:dyDescent="0.2">
      <c r="I281">
        <v>3</v>
      </c>
      <c r="J281">
        <v>60000000</v>
      </c>
      <c r="K281">
        <f>J281*Asset_Coupon</f>
        <v>2400000</v>
      </c>
      <c r="L281">
        <v>20000000</v>
      </c>
      <c r="M281">
        <f>AVERAGE('CIR Scenarios'!AG28:'CIR Scenarios'!AG39)</f>
        <v>5.0853278075597232E-2</v>
      </c>
      <c r="N281">
        <f>IF(U280&gt;0,U280*M281,0)</f>
        <v>2090844.4396721753</v>
      </c>
      <c r="O281">
        <f>K281+L281+N281</f>
        <v>24490844.439672176</v>
      </c>
      <c r="P281">
        <f>FABN_Face*FABN_Rate</f>
        <v>3500000.0000000005</v>
      </c>
      <c r="Q281">
        <v>0</v>
      </c>
      <c r="R281">
        <f>Expenses</f>
        <v>50000</v>
      </c>
      <c r="S281">
        <f>P281+Q281+R281</f>
        <v>3550000.0000000005</v>
      </c>
      <c r="T281">
        <f>O281-S281</f>
        <v>20940844.439672176</v>
      </c>
      <c r="U281">
        <f>U280+T281</f>
        <v>62056078.674208194</v>
      </c>
      <c r="V281">
        <f>MAX(0,-U281)</f>
        <v>0</v>
      </c>
      <c r="W281" cm="1">
        <f t="array" ref="W281">W280*PRODUCT(1/(1+'CIR Scenarios'!AG28:'CIR Scenarios'!AG39/12))</f>
        <v>0.87310877898535799</v>
      </c>
      <c r="X281">
        <f>V281*W281</f>
        <v>0</v>
      </c>
    </row>
    <row r="282" spans="9:24" x14ac:dyDescent="0.2">
      <c r="I282">
        <v>4</v>
      </c>
      <c r="J282">
        <v>40000000</v>
      </c>
      <c r="K282">
        <f>J282*Asset_Coupon</f>
        <v>1600000</v>
      </c>
      <c r="L282">
        <v>20000000</v>
      </c>
      <c r="M282">
        <f>AVERAGE('CIR Scenarios'!AG40:'CIR Scenarios'!AG51)</f>
        <v>6.7291340488896095E-2</v>
      </c>
      <c r="N282">
        <f>IF(U281&gt;0,U281*M282,0)</f>
        <v>4175836.7194718672</v>
      </c>
      <c r="O282">
        <f>K282+L282+N282</f>
        <v>25775836.719471868</v>
      </c>
      <c r="P282">
        <f>FABN_Face*FABN_Rate</f>
        <v>3500000.0000000005</v>
      </c>
      <c r="Q282">
        <v>0</v>
      </c>
      <c r="R282">
        <f>Expenses</f>
        <v>50000</v>
      </c>
      <c r="S282">
        <f>P282+Q282+R282</f>
        <v>3550000.0000000005</v>
      </c>
      <c r="T282">
        <f>O282-S282</f>
        <v>22225836.719471868</v>
      </c>
      <c r="U282">
        <f>U281+T282</f>
        <v>84281915.393680066</v>
      </c>
      <c r="V282">
        <f>MAX(0,-U282)</f>
        <v>0</v>
      </c>
      <c r="W282" cm="1">
        <f t="array" ref="W282">W281*PRODUCT(1/(1+'CIR Scenarios'!AG40:'CIR Scenarios'!AG51/12))</f>
        <v>0.81644330966227785</v>
      </c>
      <c r="X282">
        <f>V282*W282</f>
        <v>0</v>
      </c>
    </row>
    <row r="283" spans="9:24" x14ac:dyDescent="0.2">
      <c r="I283">
        <v>5</v>
      </c>
      <c r="J283">
        <v>20000000</v>
      </c>
      <c r="K283">
        <f>J283*Asset_Coupon</f>
        <v>800000</v>
      </c>
      <c r="L283">
        <v>20000000</v>
      </c>
      <c r="M283">
        <f>AVERAGE('CIR Scenarios'!AG52:'CIR Scenarios'!AG63)</f>
        <v>5.9906065588926839E-2</v>
      </c>
      <c r="N283">
        <f>IF(U282&gt;0,U282*M283,0)</f>
        <v>5048997.9515341809</v>
      </c>
      <c r="O283">
        <f>K283+L283+N283</f>
        <v>25848997.951534182</v>
      </c>
      <c r="P283">
        <f>FABN_Face*FABN_Rate</f>
        <v>3500000.0000000005</v>
      </c>
      <c r="Q283">
        <v>100000000</v>
      </c>
      <c r="R283">
        <f>Expenses</f>
        <v>50000</v>
      </c>
      <c r="S283">
        <f>P283+Q283+R283</f>
        <v>103550000</v>
      </c>
      <c r="T283">
        <f>O283-S283</f>
        <v>-77701002.048465818</v>
      </c>
      <c r="U283">
        <f>U282+T283</f>
        <v>6580913.3452142477</v>
      </c>
      <c r="V283">
        <f>MAX(0,-U283)</f>
        <v>0</v>
      </c>
      <c r="W283" cm="1">
        <f t="array" ref="W283">W282*PRODUCT(1/(1+'CIR Scenarios'!AG52:'CIR Scenarios'!AG63/12))</f>
        <v>0.76908639576377347</v>
      </c>
      <c r="X283">
        <f>V283*W283</f>
        <v>0</v>
      </c>
    </row>
    <row r="284" spans="9:24" x14ac:dyDescent="0.2">
      <c r="U284">
        <f>U283</f>
        <v>6580913.3452142477</v>
      </c>
      <c r="V284">
        <f>MAX(0,-U284)</f>
        <v>0</v>
      </c>
      <c r="W284">
        <f>MATCH(MAX(X279:X283),X279:X283,0)</f>
        <v>1</v>
      </c>
      <c r="X284">
        <f>MAX(X279:X283)</f>
        <v>0</v>
      </c>
    </row>
    <row r="286" spans="9:24" x14ac:dyDescent="0.2">
      <c r="I286">
        <v>1</v>
      </c>
      <c r="J286">
        <v>100000000</v>
      </c>
      <c r="K286">
        <f>J286*Asset_Coupon</f>
        <v>4000000</v>
      </c>
      <c r="L286">
        <v>20000000</v>
      </c>
      <c r="M286">
        <f>AVERAGE('CIR Scenarios'!AH4:'CIR Scenarios'!AH15)</f>
        <v>4.6867799524647945E-2</v>
      </c>
      <c r="N286">
        <v>0</v>
      </c>
      <c r="O286">
        <f>K286+L286+N286</f>
        <v>24000000</v>
      </c>
      <c r="P286">
        <f>FABN_Face*FABN_Rate</f>
        <v>3500000.0000000005</v>
      </c>
      <c r="Q286">
        <v>0</v>
      </c>
      <c r="R286">
        <f>Expenses</f>
        <v>50000</v>
      </c>
      <c r="S286">
        <f>P286+Q286+R286</f>
        <v>3550000.0000000005</v>
      </c>
      <c r="T286">
        <f>O286-S286</f>
        <v>20450000</v>
      </c>
      <c r="U286">
        <f>T286</f>
        <v>20450000</v>
      </c>
      <c r="V286">
        <f>MAX(0,-U286)</f>
        <v>0</v>
      </c>
      <c r="W286" cm="1">
        <f t="array" ref="W286">PRODUCT(1/(1+'CIR Scenarios'!AH4:'CIR Scenarios'!AH15/12))</f>
        <v>0.95430164366137682</v>
      </c>
      <c r="X286">
        <f>V286*W286</f>
        <v>0</v>
      </c>
    </row>
    <row r="287" spans="9:24" x14ac:dyDescent="0.2">
      <c r="I287">
        <v>2</v>
      </c>
      <c r="J287">
        <v>80000000</v>
      </c>
      <c r="K287">
        <f>J287*Asset_Coupon</f>
        <v>3200000</v>
      </c>
      <c r="L287">
        <v>20000000</v>
      </c>
      <c r="M287">
        <f>AVERAGE('CIR Scenarios'!AH16:'CIR Scenarios'!AH27)</f>
        <v>6.3628711701242138E-2</v>
      </c>
      <c r="N287">
        <f>IF(U286&gt;0,U286*M287,0)</f>
        <v>1301207.1542904018</v>
      </c>
      <c r="O287">
        <f>K287+L287+N287</f>
        <v>24501207.1542904</v>
      </c>
      <c r="P287">
        <f>FABN_Face*FABN_Rate</f>
        <v>3500000.0000000005</v>
      </c>
      <c r="Q287">
        <v>0</v>
      </c>
      <c r="R287">
        <f>Expenses</f>
        <v>50000</v>
      </c>
      <c r="S287">
        <f>P287+Q287+R287</f>
        <v>3550000.0000000005</v>
      </c>
      <c r="T287">
        <f>O287-S287</f>
        <v>20951207.1542904</v>
      </c>
      <c r="U287">
        <f>U286+T287</f>
        <v>41401207.1542904</v>
      </c>
      <c r="V287">
        <f>MAX(0,-U287)</f>
        <v>0</v>
      </c>
      <c r="W287" cm="1">
        <f t="array" ref="W287">W286*PRODUCT(1/(1+'CIR Scenarios'!AH16:'CIR Scenarios'!AH27/12))</f>
        <v>0.89562775283573581</v>
      </c>
      <c r="X287">
        <f>V287*W287</f>
        <v>0</v>
      </c>
    </row>
    <row r="288" spans="9:24" x14ac:dyDescent="0.2">
      <c r="I288">
        <v>3</v>
      </c>
      <c r="J288">
        <v>60000000</v>
      </c>
      <c r="K288">
        <f>J288*Asset_Coupon</f>
        <v>2400000</v>
      </c>
      <c r="L288">
        <v>20000000</v>
      </c>
      <c r="M288">
        <f>AVERAGE('CIR Scenarios'!AH28:'CIR Scenarios'!AH39)</f>
        <v>8.5150883605876568E-2</v>
      </c>
      <c r="N288">
        <f>IF(U287&gt;0,U287*M288,0)</f>
        <v>3525349.371537766</v>
      </c>
      <c r="O288">
        <f>K288+L288+N288</f>
        <v>25925349.371537767</v>
      </c>
      <c r="P288">
        <f>FABN_Face*FABN_Rate</f>
        <v>3500000.0000000005</v>
      </c>
      <c r="Q288">
        <v>0</v>
      </c>
      <c r="R288">
        <f>Expenses</f>
        <v>50000</v>
      </c>
      <c r="S288">
        <f>P288+Q288+R288</f>
        <v>3550000.0000000005</v>
      </c>
      <c r="T288">
        <f>O288-S288</f>
        <v>22375349.371537767</v>
      </c>
      <c r="U288">
        <f>U287+T288</f>
        <v>63776556.525828168</v>
      </c>
      <c r="V288">
        <f>MAX(0,-U288)</f>
        <v>0</v>
      </c>
      <c r="W288" cm="1">
        <f t="array" ref="W288">W287*PRODUCT(1/(1+'CIR Scenarios'!AH28:'CIR Scenarios'!AH39/12))</f>
        <v>0.82276912938764557</v>
      </c>
      <c r="X288">
        <f>V288*W288</f>
        <v>0</v>
      </c>
    </row>
    <row r="289" spans="9:24" x14ac:dyDescent="0.2">
      <c r="I289">
        <v>4</v>
      </c>
      <c r="J289">
        <v>40000000</v>
      </c>
      <c r="K289">
        <f>J289*Asset_Coupon</f>
        <v>1600000</v>
      </c>
      <c r="L289">
        <v>20000000</v>
      </c>
      <c r="M289">
        <f>AVERAGE('CIR Scenarios'!AH40:'CIR Scenarios'!AH51)</f>
        <v>7.490528716724118E-2</v>
      </c>
      <c r="N289">
        <f>IF(U288&gt;0,U288*M289,0)</f>
        <v>4777201.2811049484</v>
      </c>
      <c r="O289">
        <f>K289+L289+N289</f>
        <v>26377201.281104948</v>
      </c>
      <c r="P289">
        <f>FABN_Face*FABN_Rate</f>
        <v>3500000.0000000005</v>
      </c>
      <c r="Q289">
        <v>0</v>
      </c>
      <c r="R289">
        <f>Expenses</f>
        <v>50000</v>
      </c>
      <c r="S289">
        <f>P289+Q289+R289</f>
        <v>3550000.0000000005</v>
      </c>
      <c r="T289">
        <f>O289-S289</f>
        <v>22827201.281104948</v>
      </c>
      <c r="U289">
        <f>U288+T289</f>
        <v>86603757.80693312</v>
      </c>
      <c r="V289">
        <f>MAX(0,-U289)</f>
        <v>0</v>
      </c>
      <c r="W289" cm="1">
        <f t="array" ref="W289">W288*PRODUCT(1/(1+'CIR Scenarios'!AH40:'CIR Scenarios'!AH51/12))</f>
        <v>0.76356938202807334</v>
      </c>
      <c r="X289">
        <f>V289*W289</f>
        <v>0</v>
      </c>
    </row>
    <row r="290" spans="9:24" x14ac:dyDescent="0.2">
      <c r="I290">
        <v>5</v>
      </c>
      <c r="J290">
        <v>20000000</v>
      </c>
      <c r="K290">
        <f>J290*Asset_Coupon</f>
        <v>800000</v>
      </c>
      <c r="L290">
        <v>20000000</v>
      </c>
      <c r="M290">
        <f>AVERAGE('CIR Scenarios'!AH52:'CIR Scenarios'!AH63)</f>
        <v>7.5299958569866002E-2</v>
      </c>
      <c r="N290">
        <f>IF(U289&gt;0,U289*M290,0)</f>
        <v>6521259.3748567728</v>
      </c>
      <c r="O290">
        <f>K290+L290+N290</f>
        <v>27321259.374856774</v>
      </c>
      <c r="P290">
        <f>FABN_Face*FABN_Rate</f>
        <v>3500000.0000000005</v>
      </c>
      <c r="Q290">
        <v>100000000</v>
      </c>
      <c r="R290">
        <f>Expenses</f>
        <v>50000</v>
      </c>
      <c r="S290">
        <f>P290+Q290+R290</f>
        <v>103550000</v>
      </c>
      <c r="T290">
        <f>O290-S290</f>
        <v>-76228740.62514323</v>
      </c>
      <c r="U290">
        <f>U289+T290</f>
        <v>10375017.18178989</v>
      </c>
      <c r="V290">
        <f>MAX(0,-U290)</f>
        <v>0</v>
      </c>
      <c r="W290" cm="1">
        <f t="array" ref="W290">W289*PRODUCT(1/(1+'CIR Scenarios'!AH52:'CIR Scenarios'!AH63/12))</f>
        <v>0.70835087560264209</v>
      </c>
      <c r="X290">
        <f>V290*W290</f>
        <v>0</v>
      </c>
    </row>
    <row r="291" spans="9:24" x14ac:dyDescent="0.2">
      <c r="U291">
        <f>U290</f>
        <v>10375017.18178989</v>
      </c>
      <c r="V291">
        <f>MAX(0,-U291)</f>
        <v>0</v>
      </c>
      <c r="W291">
        <f>MATCH(MAX(X286:X290),X286:X290,0)</f>
        <v>1</v>
      </c>
      <c r="X291">
        <f>MAX(X286:X290)</f>
        <v>0</v>
      </c>
    </row>
    <row r="293" spans="9:24" x14ac:dyDescent="0.2">
      <c r="I293">
        <v>1</v>
      </c>
      <c r="J293">
        <v>100000000</v>
      </c>
      <c r="K293">
        <f>J293*Asset_Coupon</f>
        <v>4000000</v>
      </c>
      <c r="L293">
        <v>20000000</v>
      </c>
      <c r="M293">
        <f>AVERAGE('CIR Scenarios'!AI4:'CIR Scenarios'!AI15)</f>
        <v>3.7801492288731697E-2</v>
      </c>
      <c r="N293">
        <v>0</v>
      </c>
      <c r="O293">
        <f>K293+L293+N293</f>
        <v>24000000</v>
      </c>
      <c r="P293">
        <f>FABN_Face*FABN_Rate</f>
        <v>3500000.0000000005</v>
      </c>
      <c r="Q293">
        <v>0</v>
      </c>
      <c r="R293">
        <f>Expenses</f>
        <v>50000</v>
      </c>
      <c r="S293">
        <f>P293+Q293+R293</f>
        <v>3550000.0000000005</v>
      </c>
      <c r="T293">
        <f>O293-S293</f>
        <v>20450000</v>
      </c>
      <c r="U293">
        <f>T293</f>
        <v>20450000</v>
      </c>
      <c r="V293">
        <f>MAX(0,-U293)</f>
        <v>0</v>
      </c>
      <c r="W293" cm="1">
        <f t="array" ref="W293">PRODUCT(1/(1+'CIR Scenarios'!AI4:'CIR Scenarios'!AI15/12))</f>
        <v>0.96296196910329501</v>
      </c>
      <c r="X293">
        <f>V293*W293</f>
        <v>0</v>
      </c>
    </row>
    <row r="294" spans="9:24" x14ac:dyDescent="0.2">
      <c r="I294">
        <v>2</v>
      </c>
      <c r="J294">
        <v>80000000</v>
      </c>
      <c r="K294">
        <f>J294*Asset_Coupon</f>
        <v>3200000</v>
      </c>
      <c r="L294">
        <v>20000000</v>
      </c>
      <c r="M294">
        <f>AVERAGE('CIR Scenarios'!AI16:'CIR Scenarios'!AI27)</f>
        <v>3.2864053949735572E-2</v>
      </c>
      <c r="N294">
        <f>IF(U293&gt;0,U293*M294,0)</f>
        <v>672069.90327209246</v>
      </c>
      <c r="O294">
        <f>K294+L294+N294</f>
        <v>23872069.903272092</v>
      </c>
      <c r="P294">
        <f>FABN_Face*FABN_Rate</f>
        <v>3500000.0000000005</v>
      </c>
      <c r="Q294">
        <v>0</v>
      </c>
      <c r="R294">
        <f>Expenses</f>
        <v>50000</v>
      </c>
      <c r="S294">
        <f>P294+Q294+R294</f>
        <v>3550000.0000000005</v>
      </c>
      <c r="T294">
        <f>O294-S294</f>
        <v>20322069.903272092</v>
      </c>
      <c r="U294">
        <f>U293+T294</f>
        <v>40772069.903272092</v>
      </c>
      <c r="V294">
        <f>MAX(0,-U294)</f>
        <v>0</v>
      </c>
      <c r="W294" cm="1">
        <f t="array" ref="W294">W293*PRODUCT(1/(1+'CIR Scenarios'!AI16:'CIR Scenarios'!AI27/12))</f>
        <v>0.93187182417497882</v>
      </c>
      <c r="X294">
        <f>V294*W294</f>
        <v>0</v>
      </c>
    </row>
    <row r="295" spans="9:24" x14ac:dyDescent="0.2">
      <c r="I295">
        <v>3</v>
      </c>
      <c r="J295">
        <v>60000000</v>
      </c>
      <c r="K295">
        <f>J295*Asset_Coupon</f>
        <v>2400000</v>
      </c>
      <c r="L295">
        <v>20000000</v>
      </c>
      <c r="M295">
        <f>AVERAGE('CIR Scenarios'!AI28:'CIR Scenarios'!AI39)</f>
        <v>3.2953650538945202E-2</v>
      </c>
      <c r="N295">
        <f>IF(U294&gt;0,U294*M295,0)</f>
        <v>1343588.5433418739</v>
      </c>
      <c r="O295">
        <f>K295+L295+N295</f>
        <v>23743588.543341875</v>
      </c>
      <c r="P295">
        <f>FABN_Face*FABN_Rate</f>
        <v>3500000.0000000005</v>
      </c>
      <c r="Q295">
        <v>0</v>
      </c>
      <c r="R295">
        <f>Expenses</f>
        <v>50000</v>
      </c>
      <c r="S295">
        <f>P295+Q295+R295</f>
        <v>3550000.0000000005</v>
      </c>
      <c r="T295">
        <f>O295-S295</f>
        <v>20193588.543341875</v>
      </c>
      <c r="U295">
        <f>U294+T295</f>
        <v>60965658.446613967</v>
      </c>
      <c r="V295">
        <f>MAX(0,-U295)</f>
        <v>0</v>
      </c>
      <c r="W295" cm="1">
        <f t="array" ref="W295">W294*PRODUCT(1/(1+'CIR Scenarios'!AI28:'CIR Scenarios'!AI39/12))</f>
        <v>0.90170508802590166</v>
      </c>
      <c r="X295">
        <f>V295*W295</f>
        <v>0</v>
      </c>
    </row>
    <row r="296" spans="9:24" x14ac:dyDescent="0.2">
      <c r="I296">
        <v>4</v>
      </c>
      <c r="J296">
        <v>40000000</v>
      </c>
      <c r="K296">
        <f>J296*Asset_Coupon</f>
        <v>1600000</v>
      </c>
      <c r="L296">
        <v>20000000</v>
      </c>
      <c r="M296">
        <f>AVERAGE('CIR Scenarios'!AI40:'CIR Scenarios'!AI51)</f>
        <v>5.1902710739518798E-2</v>
      </c>
      <c r="N296">
        <f>IF(U295&gt;0,U295*M296,0)</f>
        <v>3164282.9353989055</v>
      </c>
      <c r="O296">
        <f>K296+L296+N296</f>
        <v>24764282.935398906</v>
      </c>
      <c r="P296">
        <f>FABN_Face*FABN_Rate</f>
        <v>3500000.0000000005</v>
      </c>
      <c r="Q296">
        <v>0</v>
      </c>
      <c r="R296">
        <f>Expenses</f>
        <v>50000</v>
      </c>
      <c r="S296">
        <f>P296+Q296+R296</f>
        <v>3550000.0000000005</v>
      </c>
      <c r="T296">
        <f>O296-S296</f>
        <v>21214282.935398906</v>
      </c>
      <c r="U296">
        <f>U295+T296</f>
        <v>82179941.382012874</v>
      </c>
      <c r="V296">
        <f>MAX(0,-U296)</f>
        <v>0</v>
      </c>
      <c r="W296" cm="1">
        <f t="array" ref="W296">W295*PRODUCT(1/(1+'CIR Scenarios'!AI40:'CIR Scenarios'!AI51/12))</f>
        <v>0.85619505989369371</v>
      </c>
      <c r="X296">
        <f>V296*W296</f>
        <v>0</v>
      </c>
    </row>
    <row r="297" spans="9:24" x14ac:dyDescent="0.2">
      <c r="I297">
        <v>5</v>
      </c>
      <c r="J297">
        <v>20000000</v>
      </c>
      <c r="K297">
        <f>J297*Asset_Coupon</f>
        <v>800000</v>
      </c>
      <c r="L297">
        <v>20000000</v>
      </c>
      <c r="M297">
        <f>AVERAGE('CIR Scenarios'!AI52:'CIR Scenarios'!AI63)</f>
        <v>7.3642732890725079E-2</v>
      </c>
      <c r="N297">
        <f>IF(U296&gt;0,U296*M297,0)</f>
        <v>6051955.4721710188</v>
      </c>
      <c r="O297">
        <f>K297+L297+N297</f>
        <v>26851955.47217102</v>
      </c>
      <c r="P297">
        <f>FABN_Face*FABN_Rate</f>
        <v>3500000.0000000005</v>
      </c>
      <c r="Q297">
        <v>100000000</v>
      </c>
      <c r="R297">
        <f>Expenses</f>
        <v>50000</v>
      </c>
      <c r="S297">
        <f>P297+Q297+R297</f>
        <v>103550000</v>
      </c>
      <c r="T297">
        <f>O297-S297</f>
        <v>-76698044.527828977</v>
      </c>
      <c r="U297">
        <f>U296+T297</f>
        <v>5481896.8541838974</v>
      </c>
      <c r="V297">
        <f>MAX(0,-U297)</f>
        <v>0</v>
      </c>
      <c r="W297" cm="1">
        <f t="array" ref="W297">W296*PRODUCT(1/(1+'CIR Scenarios'!AI52:'CIR Scenarios'!AI63/12))</f>
        <v>0.79558980434107507</v>
      </c>
      <c r="X297">
        <f>V297*W297</f>
        <v>0</v>
      </c>
    </row>
    <row r="298" spans="9:24" x14ac:dyDescent="0.2">
      <c r="U298">
        <f>U297</f>
        <v>5481896.8541838974</v>
      </c>
      <c r="V298">
        <f>MAX(0,-U298)</f>
        <v>0</v>
      </c>
      <c r="W298">
        <f>MATCH(MAX(X293:X297),X293:X297,0)</f>
        <v>1</v>
      </c>
      <c r="X298">
        <f>MAX(X293:X297)</f>
        <v>0</v>
      </c>
    </row>
    <row r="300" spans="9:24" x14ac:dyDescent="0.2">
      <c r="I300">
        <v>1</v>
      </c>
      <c r="J300">
        <v>100000000</v>
      </c>
      <c r="K300">
        <f>J300*Asset_Coupon</f>
        <v>4000000</v>
      </c>
      <c r="L300">
        <v>20000000</v>
      </c>
      <c r="M300">
        <f>AVERAGE('CIR Scenarios'!AJ4:'CIR Scenarios'!AJ15)</f>
        <v>4.0730593614290676E-2</v>
      </c>
      <c r="N300">
        <v>0</v>
      </c>
      <c r="O300">
        <f>K300+L300+N300</f>
        <v>24000000</v>
      </c>
      <c r="P300">
        <f>FABN_Face*FABN_Rate</f>
        <v>3500000.0000000005</v>
      </c>
      <c r="Q300">
        <v>0</v>
      </c>
      <c r="R300">
        <f>Expenses</f>
        <v>50000</v>
      </c>
      <c r="S300">
        <f>P300+Q300+R300</f>
        <v>3550000.0000000005</v>
      </c>
      <c r="T300">
        <f>O300-S300</f>
        <v>20450000</v>
      </c>
      <c r="U300">
        <f>T300</f>
        <v>20450000</v>
      </c>
      <c r="V300">
        <f>MAX(0,-U300)</f>
        <v>0</v>
      </c>
      <c r="W300" cm="1">
        <f t="array" ref="W300">PRODUCT(1/(1+'CIR Scenarios'!AJ4:'CIR Scenarios'!AJ15/12))</f>
        <v>0.96015426620930289</v>
      </c>
      <c r="X300">
        <f>V300*W300</f>
        <v>0</v>
      </c>
    </row>
    <row r="301" spans="9:24" x14ac:dyDescent="0.2">
      <c r="I301">
        <v>2</v>
      </c>
      <c r="J301">
        <v>80000000</v>
      </c>
      <c r="K301">
        <f>J301*Asset_Coupon</f>
        <v>3200000</v>
      </c>
      <c r="L301">
        <v>20000000</v>
      </c>
      <c r="M301">
        <f>AVERAGE('CIR Scenarios'!AJ16:'CIR Scenarios'!AJ27)</f>
        <v>3.9540639781216615E-2</v>
      </c>
      <c r="N301">
        <f>IF(U300&gt;0,U300*M301,0)</f>
        <v>808606.08352587977</v>
      </c>
      <c r="O301">
        <f>K301+L301+N301</f>
        <v>24008606.083525881</v>
      </c>
      <c r="P301">
        <f>FABN_Face*FABN_Rate</f>
        <v>3500000.0000000005</v>
      </c>
      <c r="Q301">
        <v>0</v>
      </c>
      <c r="R301">
        <f>Expenses</f>
        <v>50000</v>
      </c>
      <c r="S301">
        <f>P301+Q301+R301</f>
        <v>3550000.0000000005</v>
      </c>
      <c r="T301">
        <f>O301-S301</f>
        <v>20458606.083525881</v>
      </c>
      <c r="U301">
        <f>U300+T301</f>
        <v>40908606.083525881</v>
      </c>
      <c r="V301">
        <f>MAX(0,-U301)</f>
        <v>0</v>
      </c>
      <c r="W301" cm="1">
        <f t="array" ref="W301">W300*PRODUCT(1/(1+'CIR Scenarios'!AJ16:'CIR Scenarios'!AJ27/12))</f>
        <v>0.92299061308859032</v>
      </c>
      <c r="X301">
        <f>V301*W301</f>
        <v>0</v>
      </c>
    </row>
    <row r="302" spans="9:24" x14ac:dyDescent="0.2">
      <c r="I302">
        <v>3</v>
      </c>
      <c r="J302">
        <v>60000000</v>
      </c>
      <c r="K302">
        <f>J302*Asset_Coupon</f>
        <v>2400000</v>
      </c>
      <c r="L302">
        <v>20000000</v>
      </c>
      <c r="M302">
        <f>AVERAGE('CIR Scenarios'!AJ28:'CIR Scenarios'!AJ39)</f>
        <v>4.6488914622697296E-2</v>
      </c>
      <c r="N302">
        <f>IF(U301&gt;0,U301*M302,0)</f>
        <v>1901796.6955505898</v>
      </c>
      <c r="O302">
        <f>K302+L302+N302</f>
        <v>24301796.695550591</v>
      </c>
      <c r="P302">
        <f>FABN_Face*FABN_Rate</f>
        <v>3500000.0000000005</v>
      </c>
      <c r="Q302">
        <v>0</v>
      </c>
      <c r="R302">
        <f>Expenses</f>
        <v>50000</v>
      </c>
      <c r="S302">
        <f>P302+Q302+R302</f>
        <v>3550000.0000000005</v>
      </c>
      <c r="T302">
        <f>O302-S302</f>
        <v>20751796.695550591</v>
      </c>
      <c r="U302">
        <f>U301+T302</f>
        <v>61660402.779076472</v>
      </c>
      <c r="V302">
        <f>MAX(0,-U302)</f>
        <v>0</v>
      </c>
      <c r="W302" cm="1">
        <f t="array" ref="W302">W301*PRODUCT(1/(1+'CIR Scenarios'!AJ28:'CIR Scenarios'!AJ39/12))</f>
        <v>0.88114362000451352</v>
      </c>
      <c r="X302">
        <f>V302*W302</f>
        <v>0</v>
      </c>
    </row>
    <row r="303" spans="9:24" x14ac:dyDescent="0.2">
      <c r="I303">
        <v>4</v>
      </c>
      <c r="J303">
        <v>40000000</v>
      </c>
      <c r="K303">
        <f>J303*Asset_Coupon</f>
        <v>1600000</v>
      </c>
      <c r="L303">
        <v>20000000</v>
      </c>
      <c r="M303">
        <f>AVERAGE('CIR Scenarios'!AJ40:'CIR Scenarios'!AJ51)</f>
        <v>4.4201552514019748E-2</v>
      </c>
      <c r="N303">
        <f>IF(U302&gt;0,U302*M303,0)</f>
        <v>2725485.5314749577</v>
      </c>
      <c r="O303">
        <f>K303+L303+N303</f>
        <v>24325485.531474959</v>
      </c>
      <c r="P303">
        <f>FABN_Face*FABN_Rate</f>
        <v>3500000.0000000005</v>
      </c>
      <c r="Q303">
        <v>0</v>
      </c>
      <c r="R303">
        <f>Expenses</f>
        <v>50000</v>
      </c>
      <c r="S303">
        <f>P303+Q303+R303</f>
        <v>3550000.0000000005</v>
      </c>
      <c r="T303">
        <f>O303-S303</f>
        <v>20775485.531474959</v>
      </c>
      <c r="U303">
        <f>U302+T303</f>
        <v>82435888.310551435</v>
      </c>
      <c r="V303">
        <f>MAX(0,-U303)</f>
        <v>0</v>
      </c>
      <c r="W303" cm="1">
        <f t="array" ref="W303">W302*PRODUCT(1/(1+'CIR Scenarios'!AJ40:'CIR Scenarios'!AJ51/12))</f>
        <v>0.84311255709879651</v>
      </c>
      <c r="X303">
        <f>V303*W303</f>
        <v>0</v>
      </c>
    </row>
    <row r="304" spans="9:24" x14ac:dyDescent="0.2">
      <c r="I304">
        <v>5</v>
      </c>
      <c r="J304">
        <v>20000000</v>
      </c>
      <c r="K304">
        <f>J304*Asset_Coupon</f>
        <v>800000</v>
      </c>
      <c r="L304">
        <v>20000000</v>
      </c>
      <c r="M304">
        <f>AVERAGE('CIR Scenarios'!AJ52:'CIR Scenarios'!AJ63)</f>
        <v>4.3756946514532241E-2</v>
      </c>
      <c r="N304">
        <f>IF(U303&gt;0,U303*M304,0)</f>
        <v>3607142.7556827529</v>
      </c>
      <c r="O304">
        <f>K304+L304+N304</f>
        <v>24407142.755682752</v>
      </c>
      <c r="P304">
        <f>FABN_Face*FABN_Rate</f>
        <v>3500000.0000000005</v>
      </c>
      <c r="Q304">
        <v>100000000</v>
      </c>
      <c r="R304">
        <f>Expenses</f>
        <v>50000</v>
      </c>
      <c r="S304">
        <f>P304+Q304+R304</f>
        <v>103550000</v>
      </c>
      <c r="T304">
        <f>O304-S304</f>
        <v>-79142857.244317248</v>
      </c>
      <c r="U304">
        <f>U303+T304</f>
        <v>3293031.0662341863</v>
      </c>
      <c r="V304">
        <f>MAX(0,-U304)</f>
        <v>0</v>
      </c>
      <c r="W304" cm="1">
        <f t="array" ref="W304">W303*PRODUCT(1/(1+'CIR Scenarios'!AJ52:'CIR Scenarios'!AJ63/12))</f>
        <v>0.80708038514701674</v>
      </c>
      <c r="X304">
        <f>V304*W304</f>
        <v>0</v>
      </c>
    </row>
    <row r="305" spans="9:24" x14ac:dyDescent="0.2">
      <c r="U305">
        <f>U304</f>
        <v>3293031.0662341863</v>
      </c>
      <c r="V305">
        <f>MAX(0,-U305)</f>
        <v>0</v>
      </c>
      <c r="W305">
        <f>MATCH(MAX(X300:X304),X300:X304,0)</f>
        <v>1</v>
      </c>
      <c r="X305">
        <f>MAX(X300:X304)</f>
        <v>0</v>
      </c>
    </row>
    <row r="307" spans="9:24" x14ac:dyDescent="0.2">
      <c r="I307">
        <v>1</v>
      </c>
      <c r="J307">
        <v>100000000</v>
      </c>
      <c r="K307">
        <f>J307*Asset_Coupon</f>
        <v>4000000</v>
      </c>
      <c r="L307">
        <v>20000000</v>
      </c>
      <c r="M307">
        <f>AVERAGE('CIR Scenarios'!AK4:'CIR Scenarios'!AK15)</f>
        <v>4.378918541894955E-2</v>
      </c>
      <c r="N307">
        <v>0</v>
      </c>
      <c r="O307">
        <f>K307+L307+N307</f>
        <v>24000000</v>
      </c>
      <c r="P307">
        <f>FABN_Face*FABN_Rate</f>
        <v>3500000.0000000005</v>
      </c>
      <c r="Q307">
        <v>0</v>
      </c>
      <c r="R307">
        <f>Expenses</f>
        <v>50000</v>
      </c>
      <c r="S307">
        <f>P307+Q307+R307</f>
        <v>3550000.0000000005</v>
      </c>
      <c r="T307">
        <f>O307-S307</f>
        <v>20450000</v>
      </c>
      <c r="U307">
        <f>T307</f>
        <v>20450000</v>
      </c>
      <c r="V307">
        <f>MAX(0,-U307)</f>
        <v>0</v>
      </c>
      <c r="W307" cm="1">
        <f t="array" ref="W307">PRODUCT(1/(1+'CIR Scenarios'!AK4:'CIR Scenarios'!AK15/12))</f>
        <v>0.95723255878944347</v>
      </c>
      <c r="X307">
        <f>V307*W307</f>
        <v>0</v>
      </c>
    </row>
    <row r="308" spans="9:24" x14ac:dyDescent="0.2">
      <c r="I308">
        <v>2</v>
      </c>
      <c r="J308">
        <v>80000000</v>
      </c>
      <c r="K308">
        <f>J308*Asset_Coupon</f>
        <v>3200000</v>
      </c>
      <c r="L308">
        <v>20000000</v>
      </c>
      <c r="M308">
        <f>AVERAGE('CIR Scenarios'!AK16:'CIR Scenarios'!AK27)</f>
        <v>3.9286891278671347E-2</v>
      </c>
      <c r="N308">
        <f>IF(U307&gt;0,U307*M308,0)</f>
        <v>803416.92664882902</v>
      </c>
      <c r="O308">
        <f>K308+L308+N308</f>
        <v>24003416.926648829</v>
      </c>
      <c r="P308">
        <f>FABN_Face*FABN_Rate</f>
        <v>3500000.0000000005</v>
      </c>
      <c r="Q308">
        <v>0</v>
      </c>
      <c r="R308">
        <f>Expenses</f>
        <v>50000</v>
      </c>
      <c r="S308">
        <f>P308+Q308+R308</f>
        <v>3550000.0000000005</v>
      </c>
      <c r="T308">
        <f>O308-S308</f>
        <v>20453416.926648829</v>
      </c>
      <c r="U308">
        <f>U307+T308</f>
        <v>40903416.926648825</v>
      </c>
      <c r="V308">
        <f>MAX(0,-U308)</f>
        <v>0</v>
      </c>
      <c r="W308" cm="1">
        <f t="array" ref="W308">W307*PRODUCT(1/(1+'CIR Scenarios'!AK16:'CIR Scenarios'!AK27/12))</f>
        <v>0.92041538223396147</v>
      </c>
      <c r="X308">
        <f>V308*W308</f>
        <v>0</v>
      </c>
    </row>
    <row r="309" spans="9:24" x14ac:dyDescent="0.2">
      <c r="I309">
        <v>3</v>
      </c>
      <c r="J309">
        <v>60000000</v>
      </c>
      <c r="K309">
        <f>J309*Asset_Coupon</f>
        <v>2400000</v>
      </c>
      <c r="L309">
        <v>20000000</v>
      </c>
      <c r="M309">
        <f>AVERAGE('CIR Scenarios'!AK28:'CIR Scenarios'!AK39)</f>
        <v>2.1093371110326067E-2</v>
      </c>
      <c r="N309">
        <f>IF(U308&gt;0,U308*M309,0)</f>
        <v>862790.95291419665</v>
      </c>
      <c r="O309">
        <f>K309+L309+N309</f>
        <v>23262790.952914197</v>
      </c>
      <c r="P309">
        <f>FABN_Face*FABN_Rate</f>
        <v>3500000.0000000005</v>
      </c>
      <c r="Q309">
        <v>0</v>
      </c>
      <c r="R309">
        <f>Expenses</f>
        <v>50000</v>
      </c>
      <c r="S309">
        <f>P309+Q309+R309</f>
        <v>3550000.0000000005</v>
      </c>
      <c r="T309">
        <f>O309-S309</f>
        <v>19712790.952914197</v>
      </c>
      <c r="U309">
        <f>U308+T309</f>
        <v>60616207.879563019</v>
      </c>
      <c r="V309">
        <f>MAX(0,-U309)</f>
        <v>0</v>
      </c>
      <c r="W309" cm="1">
        <f t="array" ref="W309">W308*PRODUCT(1/(1+'CIR Scenarios'!AK28:'CIR Scenarios'!AK39/12))</f>
        <v>0.9012210197070768</v>
      </c>
      <c r="X309">
        <f>V309*W309</f>
        <v>0</v>
      </c>
    </row>
    <row r="310" spans="9:24" x14ac:dyDescent="0.2">
      <c r="I310">
        <v>4</v>
      </c>
      <c r="J310">
        <v>40000000</v>
      </c>
      <c r="K310">
        <f>J310*Asset_Coupon</f>
        <v>1600000</v>
      </c>
      <c r="L310">
        <v>20000000</v>
      </c>
      <c r="M310">
        <f>AVERAGE('CIR Scenarios'!AK40:'CIR Scenarios'!AK51)</f>
        <v>1.6748656280903992E-2</v>
      </c>
      <c r="N310">
        <f>IF(U309&gt;0,U309*M310,0)</f>
        <v>1015240.0308266252</v>
      </c>
      <c r="O310">
        <f>K310+L310+N310</f>
        <v>22615240.030826624</v>
      </c>
      <c r="P310">
        <f>FABN_Face*FABN_Rate</f>
        <v>3500000.0000000005</v>
      </c>
      <c r="Q310">
        <v>0</v>
      </c>
      <c r="R310">
        <f>Expenses</f>
        <v>50000</v>
      </c>
      <c r="S310">
        <f>P310+Q310+R310</f>
        <v>3550000.0000000005</v>
      </c>
      <c r="T310">
        <f>O310-S310</f>
        <v>19065240.030826624</v>
      </c>
      <c r="U310">
        <f>U309+T310</f>
        <v>79681447.910389647</v>
      </c>
      <c r="V310">
        <f>MAX(0,-U310)</f>
        <v>0</v>
      </c>
      <c r="W310" cm="1">
        <f t="array" ref="W310">W309*PRODUCT(1/(1+'CIR Scenarios'!AK40:'CIR Scenarios'!AK51/12))</f>
        <v>0.88626307518959857</v>
      </c>
      <c r="X310">
        <f>V310*W310</f>
        <v>0</v>
      </c>
    </row>
    <row r="311" spans="9:24" x14ac:dyDescent="0.2">
      <c r="I311">
        <v>5</v>
      </c>
      <c r="J311">
        <v>20000000</v>
      </c>
      <c r="K311">
        <f>J311*Asset_Coupon</f>
        <v>800000</v>
      </c>
      <c r="L311">
        <v>20000000</v>
      </c>
      <c r="M311">
        <f>AVERAGE('CIR Scenarios'!AK52:'CIR Scenarios'!AK63)</f>
        <v>2.2302106444913275E-2</v>
      </c>
      <c r="N311">
        <f>IF(U310&gt;0,U310*M311,0)</f>
        <v>1777064.1329823222</v>
      </c>
      <c r="O311">
        <f>K311+L311+N311</f>
        <v>22577064.132982321</v>
      </c>
      <c r="P311">
        <f>FABN_Face*FABN_Rate</f>
        <v>3500000.0000000005</v>
      </c>
      <c r="Q311">
        <v>100000000</v>
      </c>
      <c r="R311">
        <f>Expenses</f>
        <v>50000</v>
      </c>
      <c r="S311">
        <f>P311+Q311+R311</f>
        <v>103550000</v>
      </c>
      <c r="T311">
        <f>O311-S311</f>
        <v>-80972935.867017686</v>
      </c>
      <c r="U311">
        <f>U310+T311</f>
        <v>-1291487.9566280395</v>
      </c>
      <c r="V311">
        <f>MAX(0,-U311)</f>
        <v>1291487.9566280395</v>
      </c>
      <c r="W311" cm="1">
        <f t="array" ref="W311">W310*PRODUCT(1/(1+'CIR Scenarios'!AK52:'CIR Scenarios'!AK63/12))</f>
        <v>0.86673463759876701</v>
      </c>
      <c r="X311">
        <f>V311*W311</f>
        <v>1119377.3460511758</v>
      </c>
    </row>
    <row r="312" spans="9:24" x14ac:dyDescent="0.2">
      <c r="U312">
        <f>U311</f>
        <v>-1291487.9566280395</v>
      </c>
      <c r="V312">
        <f>MAX(0,-U312)</f>
        <v>1291487.9566280395</v>
      </c>
      <c r="W312">
        <f>MATCH(MAX(X307:X311),X307:X311,0)</f>
        <v>5</v>
      </c>
      <c r="X312">
        <f>MAX(X307:X311)</f>
        <v>1119377.3460511758</v>
      </c>
    </row>
    <row r="314" spans="9:24" x14ac:dyDescent="0.2">
      <c r="I314">
        <v>1</v>
      </c>
      <c r="J314">
        <v>100000000</v>
      </c>
      <c r="K314">
        <f>J314*Asset_Coupon</f>
        <v>4000000</v>
      </c>
      <c r="L314">
        <v>20000000</v>
      </c>
      <c r="M314">
        <f>AVERAGE('CIR Scenarios'!AL4:'CIR Scenarios'!AL15)</f>
        <v>5.4684016168115697E-2</v>
      </c>
      <c r="N314">
        <v>0</v>
      </c>
      <c r="O314">
        <f>K314+L314+N314</f>
        <v>24000000</v>
      </c>
      <c r="P314">
        <f>FABN_Face*FABN_Rate</f>
        <v>3500000.0000000005</v>
      </c>
      <c r="Q314">
        <v>0</v>
      </c>
      <c r="R314">
        <f>Expenses</f>
        <v>50000</v>
      </c>
      <c r="S314">
        <f>P314+Q314+R314</f>
        <v>3550000.0000000005</v>
      </c>
      <c r="T314">
        <f>O314-S314</f>
        <v>20450000</v>
      </c>
      <c r="U314">
        <f>T314</f>
        <v>20450000</v>
      </c>
      <c r="V314">
        <f>MAX(0,-U314)</f>
        <v>0</v>
      </c>
      <c r="W314" cm="1">
        <f t="array" ref="W314">PRODUCT(1/(1+'CIR Scenarios'!AL4:'CIR Scenarios'!AL15/12))</f>
        <v>0.94690463444536621</v>
      </c>
      <c r="X314">
        <f>V314*W314</f>
        <v>0</v>
      </c>
    </row>
    <row r="315" spans="9:24" x14ac:dyDescent="0.2">
      <c r="I315">
        <v>2</v>
      </c>
      <c r="J315">
        <v>80000000</v>
      </c>
      <c r="K315">
        <f>J315*Asset_Coupon</f>
        <v>3200000</v>
      </c>
      <c r="L315">
        <v>20000000</v>
      </c>
      <c r="M315">
        <f>AVERAGE('CIR Scenarios'!AL16:'CIR Scenarios'!AL27)</f>
        <v>7.8941118700625298E-2</v>
      </c>
      <c r="N315">
        <f>IF(U314&gt;0,U314*M315,0)</f>
        <v>1614345.8774277873</v>
      </c>
      <c r="O315">
        <f>K315+L315+N315</f>
        <v>24814345.877427787</v>
      </c>
      <c r="P315">
        <f>FABN_Face*FABN_Rate</f>
        <v>3500000.0000000005</v>
      </c>
      <c r="Q315">
        <v>0</v>
      </c>
      <c r="R315">
        <f>Expenses</f>
        <v>50000</v>
      </c>
      <c r="S315">
        <f>P315+Q315+R315</f>
        <v>3550000.0000000005</v>
      </c>
      <c r="T315">
        <f>O315-S315</f>
        <v>21264345.877427787</v>
      </c>
      <c r="U315">
        <f>U314+T315</f>
        <v>41714345.877427787</v>
      </c>
      <c r="V315">
        <f>MAX(0,-U315)</f>
        <v>0</v>
      </c>
      <c r="W315" cm="1">
        <f t="array" ref="W315">W314*PRODUCT(1/(1+'CIR Scenarios'!AL16:'CIR Scenarios'!AL27/12))</f>
        <v>0.87525817603973766</v>
      </c>
      <c r="X315">
        <f>V315*W315</f>
        <v>0</v>
      </c>
    </row>
    <row r="316" spans="9:24" x14ac:dyDescent="0.2">
      <c r="I316">
        <v>3</v>
      </c>
      <c r="J316">
        <v>60000000</v>
      </c>
      <c r="K316">
        <f>J316*Asset_Coupon</f>
        <v>2400000</v>
      </c>
      <c r="L316">
        <v>20000000</v>
      </c>
      <c r="M316">
        <f>AVERAGE('CIR Scenarios'!AL28:'CIR Scenarios'!AL39)</f>
        <v>8.7515103155661952E-2</v>
      </c>
      <c r="N316">
        <f>IF(U315&gt;0,U315*M316,0)</f>
        <v>3650635.2825340545</v>
      </c>
      <c r="O316">
        <f>K316+L316+N316</f>
        <v>26050635.282534055</v>
      </c>
      <c r="P316">
        <f>FABN_Face*FABN_Rate</f>
        <v>3500000.0000000005</v>
      </c>
      <c r="Q316">
        <v>0</v>
      </c>
      <c r="R316">
        <f>Expenses</f>
        <v>50000</v>
      </c>
      <c r="S316">
        <f>P316+Q316+R316</f>
        <v>3550000.0000000005</v>
      </c>
      <c r="T316">
        <f>O316-S316</f>
        <v>22500635.282534055</v>
      </c>
      <c r="U316">
        <f>U315+T316</f>
        <v>64214981.159961842</v>
      </c>
      <c r="V316">
        <f>MAX(0,-U316)</f>
        <v>0</v>
      </c>
      <c r="W316" cm="1">
        <f t="array" ref="W316">W315*PRODUCT(1/(1+'CIR Scenarios'!AL28:'CIR Scenarios'!AL39/12))</f>
        <v>0.80217160631598938</v>
      </c>
      <c r="X316">
        <f>V316*W316</f>
        <v>0</v>
      </c>
    </row>
    <row r="317" spans="9:24" x14ac:dyDescent="0.2">
      <c r="I317">
        <v>4</v>
      </c>
      <c r="J317">
        <v>40000000</v>
      </c>
      <c r="K317">
        <f>J317*Asset_Coupon</f>
        <v>1600000</v>
      </c>
      <c r="L317">
        <v>20000000</v>
      </c>
      <c r="M317">
        <f>AVERAGE('CIR Scenarios'!AL40:'CIR Scenarios'!AL51)</f>
        <v>8.6063620488570969E-2</v>
      </c>
      <c r="N317">
        <f>IF(U316&gt;0,U316*M317,0)</f>
        <v>5526573.7682316909</v>
      </c>
      <c r="O317">
        <f>K317+L317+N317</f>
        <v>27126573.76823169</v>
      </c>
      <c r="P317">
        <f>FABN_Face*FABN_Rate</f>
        <v>3500000.0000000005</v>
      </c>
      <c r="Q317">
        <v>0</v>
      </c>
      <c r="R317">
        <f>Expenses</f>
        <v>50000</v>
      </c>
      <c r="S317">
        <f>P317+Q317+R317</f>
        <v>3550000.0000000005</v>
      </c>
      <c r="T317">
        <f>O317-S317</f>
        <v>23576573.76823169</v>
      </c>
      <c r="U317">
        <f>U316+T317</f>
        <v>87791554.928193539</v>
      </c>
      <c r="V317">
        <f>MAX(0,-U317)</f>
        <v>0</v>
      </c>
      <c r="W317" cm="1">
        <f t="array" ref="W317">W316*PRODUCT(1/(1+'CIR Scenarios'!AL40:'CIR Scenarios'!AL51/12))</f>
        <v>0.73624991601068035</v>
      </c>
      <c r="X317">
        <f>V317*W317</f>
        <v>0</v>
      </c>
    </row>
    <row r="318" spans="9:24" x14ac:dyDescent="0.2">
      <c r="I318">
        <v>5</v>
      </c>
      <c r="J318">
        <v>20000000</v>
      </c>
      <c r="K318">
        <f>J318*Asset_Coupon</f>
        <v>800000</v>
      </c>
      <c r="L318">
        <v>20000000</v>
      </c>
      <c r="M318">
        <f>AVERAGE('CIR Scenarios'!AL52:'CIR Scenarios'!AL63)</f>
        <v>7.516706209751764E-2</v>
      </c>
      <c r="N318">
        <f>IF(U317&gt;0,U317*M318,0)</f>
        <v>6599033.2609251542</v>
      </c>
      <c r="O318">
        <f>K318+L318+N318</f>
        <v>27399033.260925155</v>
      </c>
      <c r="P318">
        <f>FABN_Face*FABN_Rate</f>
        <v>3500000.0000000005</v>
      </c>
      <c r="Q318">
        <v>100000000</v>
      </c>
      <c r="R318">
        <f>Expenses</f>
        <v>50000</v>
      </c>
      <c r="S318">
        <f>P318+Q318+R318</f>
        <v>103550000</v>
      </c>
      <c r="T318">
        <f>O318-S318</f>
        <v>-76150966.739074841</v>
      </c>
      <c r="U318">
        <f>U317+T318</f>
        <v>11640588.189118698</v>
      </c>
      <c r="V318">
        <f>MAX(0,-U318)</f>
        <v>0</v>
      </c>
      <c r="W318" cm="1">
        <f t="array" ref="W318">W317*PRODUCT(1/(1+'CIR Scenarios'!AL52:'CIR Scenarios'!AL63/12))</f>
        <v>0.6830972620511897</v>
      </c>
      <c r="X318">
        <f>V318*W318</f>
        <v>0</v>
      </c>
    </row>
    <row r="319" spans="9:24" x14ac:dyDescent="0.2">
      <c r="U319">
        <f>U318</f>
        <v>11640588.189118698</v>
      </c>
      <c r="V319">
        <f>MAX(0,-U319)</f>
        <v>0</v>
      </c>
      <c r="W319">
        <f>MATCH(MAX(X314:X318),X314:X318,0)</f>
        <v>1</v>
      </c>
      <c r="X319">
        <f>MAX(X314:X318)</f>
        <v>0</v>
      </c>
    </row>
    <row r="321" spans="9:24" x14ac:dyDescent="0.2">
      <c r="I321">
        <v>1</v>
      </c>
      <c r="J321">
        <v>100000000</v>
      </c>
      <c r="K321">
        <f>J321*Asset_Coupon</f>
        <v>4000000</v>
      </c>
      <c r="L321">
        <v>20000000</v>
      </c>
      <c r="M321">
        <f>AVERAGE('CIR Scenarios'!AM4:'CIR Scenarios'!AM15)</f>
        <v>4.0627842318260186E-2</v>
      </c>
      <c r="N321">
        <v>0</v>
      </c>
      <c r="O321">
        <f>K321+L321+N321</f>
        <v>24000000</v>
      </c>
      <c r="P321">
        <f>FABN_Face*FABN_Rate</f>
        <v>3500000.0000000005</v>
      </c>
      <c r="Q321">
        <v>0</v>
      </c>
      <c r="R321">
        <f>Expenses</f>
        <v>50000</v>
      </c>
      <c r="S321">
        <f>P321+Q321+R321</f>
        <v>3550000.0000000005</v>
      </c>
      <c r="T321">
        <f>O321-S321</f>
        <v>20450000</v>
      </c>
      <c r="U321">
        <f>T321</f>
        <v>20450000</v>
      </c>
      <c r="V321">
        <f>MAX(0,-U321)</f>
        <v>0</v>
      </c>
      <c r="W321" cm="1">
        <f t="array" ref="W321">PRODUCT(1/(1+'CIR Scenarios'!AM4:'CIR Scenarios'!AM15/12))</f>
        <v>0.96025271925917421</v>
      </c>
      <c r="X321">
        <f>V321*W321</f>
        <v>0</v>
      </c>
    </row>
    <row r="322" spans="9:24" x14ac:dyDescent="0.2">
      <c r="I322">
        <v>2</v>
      </c>
      <c r="J322">
        <v>80000000</v>
      </c>
      <c r="K322">
        <f>J322*Asset_Coupon</f>
        <v>3200000</v>
      </c>
      <c r="L322">
        <v>20000000</v>
      </c>
      <c r="M322">
        <f>AVERAGE('CIR Scenarios'!AM16:'CIR Scenarios'!AM27)</f>
        <v>5.0287571984693975E-2</v>
      </c>
      <c r="N322">
        <f>IF(U321&gt;0,U321*M322,0)</f>
        <v>1028380.8470869918</v>
      </c>
      <c r="O322">
        <f>K322+L322+N322</f>
        <v>24228380.847086992</v>
      </c>
      <c r="P322">
        <f>FABN_Face*FABN_Rate</f>
        <v>3500000.0000000005</v>
      </c>
      <c r="Q322">
        <v>0</v>
      </c>
      <c r="R322">
        <f>Expenses</f>
        <v>50000</v>
      </c>
      <c r="S322">
        <f>P322+Q322+R322</f>
        <v>3550000.0000000005</v>
      </c>
      <c r="T322">
        <f>O322-S322</f>
        <v>20678380.847086992</v>
      </c>
      <c r="U322">
        <f>U321+T322</f>
        <v>41128380.847086996</v>
      </c>
      <c r="V322">
        <f>MAX(0,-U322)</f>
        <v>0</v>
      </c>
      <c r="W322" cm="1">
        <f t="array" ref="W322">W321*PRODUCT(1/(1+'CIR Scenarios'!AM16:'CIR Scenarios'!AM27/12))</f>
        <v>0.91325584939553395</v>
      </c>
      <c r="X322">
        <f>V322*W322</f>
        <v>0</v>
      </c>
    </row>
    <row r="323" spans="9:24" x14ac:dyDescent="0.2">
      <c r="I323">
        <v>3</v>
      </c>
      <c r="J323">
        <v>60000000</v>
      </c>
      <c r="K323">
        <f>J323*Asset_Coupon</f>
        <v>2400000</v>
      </c>
      <c r="L323">
        <v>20000000</v>
      </c>
      <c r="M323">
        <f>AVERAGE('CIR Scenarios'!AM28:'CIR Scenarios'!AM39)</f>
        <v>5.1376085215077048E-2</v>
      </c>
      <c r="N323">
        <f>IF(U322&gt;0,U322*M323,0)</f>
        <v>2113015.1991580841</v>
      </c>
      <c r="O323">
        <f>K323+L323+N323</f>
        <v>24513015.199158084</v>
      </c>
      <c r="P323">
        <f>FABN_Face*FABN_Rate</f>
        <v>3500000.0000000005</v>
      </c>
      <c r="Q323">
        <v>0</v>
      </c>
      <c r="R323">
        <f>Expenses</f>
        <v>50000</v>
      </c>
      <c r="S323">
        <f>P323+Q323+R323</f>
        <v>3550000.0000000005</v>
      </c>
      <c r="T323">
        <f>O323-S323</f>
        <v>20963015.199158084</v>
      </c>
      <c r="U323">
        <f>U322+T323</f>
        <v>62091396.046245083</v>
      </c>
      <c r="V323">
        <f>MAX(0,-U323)</f>
        <v>0</v>
      </c>
      <c r="W323" cm="1">
        <f t="array" ref="W323">W322*PRODUCT(1/(1+'CIR Scenarios'!AM28:'CIR Scenarios'!AM39/12))</f>
        <v>0.86761651571628495</v>
      </c>
      <c r="X323">
        <f>V323*W323</f>
        <v>0</v>
      </c>
    </row>
    <row r="324" spans="9:24" x14ac:dyDescent="0.2">
      <c r="I324">
        <v>4</v>
      </c>
      <c r="J324">
        <v>40000000</v>
      </c>
      <c r="K324">
        <f>J324*Asset_Coupon</f>
        <v>1600000</v>
      </c>
      <c r="L324">
        <v>20000000</v>
      </c>
      <c r="M324">
        <f>AVERAGE('CIR Scenarios'!AM40:'CIR Scenarios'!AM51)</f>
        <v>3.7150566335571816E-2</v>
      </c>
      <c r="N324">
        <f>IF(U323&gt;0,U323*M324,0)</f>
        <v>2306730.5276842895</v>
      </c>
      <c r="O324">
        <f>K324+L324+N324</f>
        <v>23906730.52768429</v>
      </c>
      <c r="P324">
        <f>FABN_Face*FABN_Rate</f>
        <v>3500000.0000000005</v>
      </c>
      <c r="Q324">
        <v>0</v>
      </c>
      <c r="R324">
        <f>Expenses</f>
        <v>50000</v>
      </c>
      <c r="S324">
        <f>P324+Q324+R324</f>
        <v>3550000.0000000005</v>
      </c>
      <c r="T324">
        <f>O324-S324</f>
        <v>20356730.52768429</v>
      </c>
      <c r="U324">
        <f>U323+T324</f>
        <v>82448126.573929369</v>
      </c>
      <c r="V324">
        <f>MAX(0,-U324)</f>
        <v>0</v>
      </c>
      <c r="W324" cm="1">
        <f t="array" ref="W324">W323*PRODUCT(1/(1+'CIR Scenarios'!AM40:'CIR Scenarios'!AM51/12))</f>
        <v>0.83602426618030801</v>
      </c>
      <c r="X324">
        <f>V324*W324</f>
        <v>0</v>
      </c>
    </row>
    <row r="325" spans="9:24" x14ac:dyDescent="0.2">
      <c r="I325">
        <v>5</v>
      </c>
      <c r="J325">
        <v>20000000</v>
      </c>
      <c r="K325">
        <f>J325*Asset_Coupon</f>
        <v>800000</v>
      </c>
      <c r="L325">
        <v>20000000</v>
      </c>
      <c r="M325">
        <f>AVERAGE('CIR Scenarios'!AM52:'CIR Scenarios'!AM63)</f>
        <v>4.0545531919261753E-2</v>
      </c>
      <c r="N325">
        <f>IF(U324&gt;0,U324*M325,0)</f>
        <v>3342903.1476865862</v>
      </c>
      <c r="O325">
        <f>K325+L325+N325</f>
        <v>24142903.147686586</v>
      </c>
      <c r="P325">
        <f>FABN_Face*FABN_Rate</f>
        <v>3500000.0000000005</v>
      </c>
      <c r="Q325">
        <v>100000000</v>
      </c>
      <c r="R325">
        <f>Expenses</f>
        <v>50000</v>
      </c>
      <c r="S325">
        <f>P325+Q325+R325</f>
        <v>103550000</v>
      </c>
      <c r="T325">
        <f>O325-S325</f>
        <v>-79407096.852313414</v>
      </c>
      <c r="U325">
        <f>U324+T325</f>
        <v>3041029.7216159552</v>
      </c>
      <c r="V325">
        <f>MAX(0,-U325)</f>
        <v>0</v>
      </c>
      <c r="W325" cm="1">
        <f t="array" ref="W325">W324*PRODUCT(1/(1+'CIR Scenarios'!AM52:'CIR Scenarios'!AM63/12))</f>
        <v>0.8028605178019963</v>
      </c>
      <c r="X325">
        <f>V325*W325</f>
        <v>0</v>
      </c>
    </row>
    <row r="326" spans="9:24" x14ac:dyDescent="0.2">
      <c r="U326">
        <f>U325</f>
        <v>3041029.7216159552</v>
      </c>
      <c r="V326">
        <f>MAX(0,-U326)</f>
        <v>0</v>
      </c>
      <c r="W326">
        <f>MATCH(MAX(X321:X325),X321:X325,0)</f>
        <v>1</v>
      </c>
      <c r="X326">
        <f>MAX(X321:X325)</f>
        <v>0</v>
      </c>
    </row>
    <row r="328" spans="9:24" x14ac:dyDescent="0.2">
      <c r="I328">
        <v>1</v>
      </c>
      <c r="J328">
        <v>100000000</v>
      </c>
      <c r="K328">
        <f>J328*Asset_Coupon</f>
        <v>4000000</v>
      </c>
      <c r="L328">
        <v>20000000</v>
      </c>
      <c r="M328">
        <f>AVERAGE('CIR Scenarios'!AN4:'CIR Scenarios'!AN15)</f>
        <v>2.5275965401293038E-2</v>
      </c>
      <c r="N328">
        <v>0</v>
      </c>
      <c r="O328">
        <f>K328+L328+N328</f>
        <v>24000000</v>
      </c>
      <c r="P328">
        <f>FABN_Face*FABN_Rate</f>
        <v>3500000.0000000005</v>
      </c>
      <c r="Q328">
        <v>0</v>
      </c>
      <c r="R328">
        <f>Expenses</f>
        <v>50000</v>
      </c>
      <c r="S328">
        <f>P328+Q328+R328</f>
        <v>3550000.0000000005</v>
      </c>
      <c r="T328">
        <f>O328-S328</f>
        <v>20450000</v>
      </c>
      <c r="U328">
        <f>T328</f>
        <v>20450000</v>
      </c>
      <c r="V328">
        <f>MAX(0,-U328)</f>
        <v>0</v>
      </c>
      <c r="W328" cm="1">
        <f t="array" ref="W328">PRODUCT(1/(1+'CIR Scenarios'!AN4:'CIR Scenarios'!AN15/12))</f>
        <v>0.97506801150179567</v>
      </c>
      <c r="X328">
        <f>V328*W328</f>
        <v>0</v>
      </c>
    </row>
    <row r="329" spans="9:24" x14ac:dyDescent="0.2">
      <c r="I329">
        <v>2</v>
      </c>
      <c r="J329">
        <v>80000000</v>
      </c>
      <c r="K329">
        <f>J329*Asset_Coupon</f>
        <v>3200000</v>
      </c>
      <c r="L329">
        <v>20000000</v>
      </c>
      <c r="M329">
        <f>AVERAGE('CIR Scenarios'!AN16:'CIR Scenarios'!AN27)</f>
        <v>2.3655621632513311E-2</v>
      </c>
      <c r="N329">
        <f>IF(U328&gt;0,U328*M329,0)</f>
        <v>483757.46238489723</v>
      </c>
      <c r="O329">
        <f>K329+L329+N329</f>
        <v>23683757.462384898</v>
      </c>
      <c r="P329">
        <f>FABN_Face*FABN_Rate</f>
        <v>3500000.0000000005</v>
      </c>
      <c r="Q329">
        <v>0</v>
      </c>
      <c r="R329">
        <f>Expenses</f>
        <v>50000</v>
      </c>
      <c r="S329">
        <f>P329+Q329+R329</f>
        <v>3550000.0000000005</v>
      </c>
      <c r="T329">
        <f>O329-S329</f>
        <v>20133757.462384898</v>
      </c>
      <c r="U329">
        <f>U328+T329</f>
        <v>40583757.462384894</v>
      </c>
      <c r="V329">
        <f>MAX(0,-U329)</f>
        <v>0</v>
      </c>
      <c r="W329" cm="1">
        <f t="array" ref="W329">W328*PRODUCT(1/(1+'CIR Scenarios'!AN16:'CIR Scenarios'!AN27/12))</f>
        <v>0.95229536430231054</v>
      </c>
      <c r="X329">
        <f>V329*W329</f>
        <v>0</v>
      </c>
    </row>
    <row r="330" spans="9:24" x14ac:dyDescent="0.2">
      <c r="I330">
        <v>3</v>
      </c>
      <c r="J330">
        <v>60000000</v>
      </c>
      <c r="K330">
        <f>J330*Asset_Coupon</f>
        <v>2400000</v>
      </c>
      <c r="L330">
        <v>20000000</v>
      </c>
      <c r="M330">
        <f>AVERAGE('CIR Scenarios'!AN28:'CIR Scenarios'!AN39)</f>
        <v>2.9215114276934268E-2</v>
      </c>
      <c r="N330">
        <f>IF(U329&gt;0,U329*M330,0)</f>
        <v>1185659.1120509584</v>
      </c>
      <c r="O330">
        <f>K330+L330+N330</f>
        <v>23585659.112050958</v>
      </c>
      <c r="P330">
        <f>FABN_Face*FABN_Rate</f>
        <v>3500000.0000000005</v>
      </c>
      <c r="Q330">
        <v>0</v>
      </c>
      <c r="R330">
        <f>Expenses</f>
        <v>50000</v>
      </c>
      <c r="S330">
        <f>P330+Q330+R330</f>
        <v>3550000.0000000005</v>
      </c>
      <c r="T330">
        <f>O330-S330</f>
        <v>20035659.112050958</v>
      </c>
      <c r="U330">
        <f>U329+T330</f>
        <v>60619416.574435852</v>
      </c>
      <c r="V330">
        <f>MAX(0,-U330)</f>
        <v>0</v>
      </c>
      <c r="W330" cm="1">
        <f t="array" ref="W330">W329*PRODUCT(1/(1+'CIR Scenarios'!AN28:'CIR Scenarios'!AN39/12))</f>
        <v>0.92490996420553884</v>
      </c>
      <c r="X330">
        <f>V330*W330</f>
        <v>0</v>
      </c>
    </row>
    <row r="331" spans="9:24" x14ac:dyDescent="0.2">
      <c r="I331">
        <v>4</v>
      </c>
      <c r="J331">
        <v>40000000</v>
      </c>
      <c r="K331">
        <f>J331*Asset_Coupon</f>
        <v>1600000</v>
      </c>
      <c r="L331">
        <v>20000000</v>
      </c>
      <c r="M331">
        <f>AVERAGE('CIR Scenarios'!AN40:'CIR Scenarios'!AN51)</f>
        <v>3.1824476797160391E-2</v>
      </c>
      <c r="N331">
        <f>IF(U330&gt;0,U330*M331,0)</f>
        <v>1929181.2162305338</v>
      </c>
      <c r="O331">
        <f>K331+L331+N331</f>
        <v>23529181.216230534</v>
      </c>
      <c r="P331">
        <f>FABN_Face*FABN_Rate</f>
        <v>3500000.0000000005</v>
      </c>
      <c r="Q331">
        <v>0</v>
      </c>
      <c r="R331">
        <f>Expenses</f>
        <v>50000</v>
      </c>
      <c r="S331">
        <f>P331+Q331+R331</f>
        <v>3550000.0000000005</v>
      </c>
      <c r="T331">
        <f>O331-S331</f>
        <v>19979181.216230534</v>
      </c>
      <c r="U331">
        <f>U330+T331</f>
        <v>80598597.790666386</v>
      </c>
      <c r="V331">
        <f>MAX(0,-U331)</f>
        <v>0</v>
      </c>
      <c r="W331" cm="1">
        <f t="array" ref="W331">W330*PRODUCT(1/(1+'CIR Scenarios'!AN40:'CIR Scenarios'!AN51/12))</f>
        <v>0.89597706606685079</v>
      </c>
      <c r="X331">
        <f>V331*W331</f>
        <v>0</v>
      </c>
    </row>
    <row r="332" spans="9:24" x14ac:dyDescent="0.2">
      <c r="I332">
        <v>5</v>
      </c>
      <c r="J332">
        <v>20000000</v>
      </c>
      <c r="K332">
        <f>J332*Asset_Coupon</f>
        <v>800000</v>
      </c>
      <c r="L332">
        <v>20000000</v>
      </c>
      <c r="M332">
        <f>AVERAGE('CIR Scenarios'!AN52:'CIR Scenarios'!AN63)</f>
        <v>4.1764303738329067E-2</v>
      </c>
      <c r="N332">
        <f>IF(U331&gt;0,U331*M332,0)</f>
        <v>3366144.3190128091</v>
      </c>
      <c r="O332">
        <f>K332+L332+N332</f>
        <v>24166144.31901281</v>
      </c>
      <c r="P332">
        <f>FABN_Face*FABN_Rate</f>
        <v>3500000.0000000005</v>
      </c>
      <c r="Q332">
        <v>100000000</v>
      </c>
      <c r="R332">
        <f>Expenses</f>
        <v>50000</v>
      </c>
      <c r="S332">
        <f>P332+Q332+R332</f>
        <v>103550000</v>
      </c>
      <c r="T332">
        <f>O332-S332</f>
        <v>-79383855.680987194</v>
      </c>
      <c r="U332">
        <f>U331+T332</f>
        <v>1214742.1096791923</v>
      </c>
      <c r="V332">
        <f>MAX(0,-U332)</f>
        <v>0</v>
      </c>
      <c r="W332" cm="1">
        <f t="array" ref="W332">W331*PRODUCT(1/(1+'CIR Scenarios'!AN52:'CIR Scenarios'!AN63/12))</f>
        <v>0.85939060808665813</v>
      </c>
      <c r="X332">
        <f>V332*W332</f>
        <v>0</v>
      </c>
    </row>
    <row r="333" spans="9:24" x14ac:dyDescent="0.2">
      <c r="U333">
        <f>U332</f>
        <v>1214742.1096791923</v>
      </c>
      <c r="V333">
        <f>MAX(0,-U333)</f>
        <v>0</v>
      </c>
      <c r="W333">
        <f>MATCH(MAX(X328:X332),X328:X332,0)</f>
        <v>1</v>
      </c>
      <c r="X333">
        <f>MAX(X328:X332)</f>
        <v>0</v>
      </c>
    </row>
    <row r="335" spans="9:24" x14ac:dyDescent="0.2">
      <c r="I335">
        <v>1</v>
      </c>
      <c r="J335">
        <v>100000000</v>
      </c>
      <c r="K335">
        <f>J335*Asset_Coupon</f>
        <v>4000000</v>
      </c>
      <c r="L335">
        <v>20000000</v>
      </c>
      <c r="M335">
        <f>AVERAGE('CIR Scenarios'!AO4:'CIR Scenarios'!AO15)</f>
        <v>3.1219944947690575E-2</v>
      </c>
      <c r="N335">
        <v>0</v>
      </c>
      <c r="O335">
        <f>K335+L335+N335</f>
        <v>24000000</v>
      </c>
      <c r="P335">
        <f>FABN_Face*FABN_Rate</f>
        <v>3500000.0000000005</v>
      </c>
      <c r="Q335">
        <v>0</v>
      </c>
      <c r="R335">
        <f>Expenses</f>
        <v>50000</v>
      </c>
      <c r="S335">
        <f>P335+Q335+R335</f>
        <v>3550000.0000000005</v>
      </c>
      <c r="T335">
        <f>O335-S335</f>
        <v>20450000</v>
      </c>
      <c r="U335">
        <f>T335</f>
        <v>20450000</v>
      </c>
      <c r="V335">
        <f>MAX(0,-U335)</f>
        <v>0</v>
      </c>
      <c r="W335" cm="1">
        <f t="array" ref="W335">PRODUCT(1/(1+'CIR Scenarios'!AO4:'CIR Scenarios'!AO15/12))</f>
        <v>0.96930290580661926</v>
      </c>
      <c r="X335">
        <f>V335*W335</f>
        <v>0</v>
      </c>
    </row>
    <row r="336" spans="9:24" x14ac:dyDescent="0.2">
      <c r="I336">
        <v>2</v>
      </c>
      <c r="J336">
        <v>80000000</v>
      </c>
      <c r="K336">
        <f>J336*Asset_Coupon</f>
        <v>3200000</v>
      </c>
      <c r="L336">
        <v>20000000</v>
      </c>
      <c r="M336">
        <f>AVERAGE('CIR Scenarios'!AO16:'CIR Scenarios'!AO27)</f>
        <v>2.7670150840122157E-2</v>
      </c>
      <c r="N336">
        <f>IF(U335&gt;0,U335*M336,0)</f>
        <v>565854.58468049811</v>
      </c>
      <c r="O336">
        <f>K336+L336+N336</f>
        <v>23765854.584680498</v>
      </c>
      <c r="P336">
        <f>FABN_Face*FABN_Rate</f>
        <v>3500000.0000000005</v>
      </c>
      <c r="Q336">
        <v>0</v>
      </c>
      <c r="R336">
        <f>Expenses</f>
        <v>50000</v>
      </c>
      <c r="S336">
        <f>P336+Q336+R336</f>
        <v>3550000.0000000005</v>
      </c>
      <c r="T336">
        <f>O336-S336</f>
        <v>20215854.584680498</v>
      </c>
      <c r="U336">
        <f>U335+T336</f>
        <v>40665854.584680498</v>
      </c>
      <c r="V336">
        <f>MAX(0,-U336)</f>
        <v>0</v>
      </c>
      <c r="W336" cm="1">
        <f t="array" ref="W336">W335*PRODUCT(1/(1+'CIR Scenarios'!AO16:'CIR Scenarios'!AO27/12))</f>
        <v>0.94287998541846207</v>
      </c>
      <c r="X336">
        <f>V336*W336</f>
        <v>0</v>
      </c>
    </row>
    <row r="337" spans="9:24" x14ac:dyDescent="0.2">
      <c r="I337">
        <v>3</v>
      </c>
      <c r="J337">
        <v>60000000</v>
      </c>
      <c r="K337">
        <f>J337*Asset_Coupon</f>
        <v>2400000</v>
      </c>
      <c r="L337">
        <v>20000000</v>
      </c>
      <c r="M337">
        <f>AVERAGE('CIR Scenarios'!AO28:'CIR Scenarios'!AO39)</f>
        <v>2.9445962181056301E-2</v>
      </c>
      <c r="N337">
        <f>IF(U336&gt;0,U336*M337,0)</f>
        <v>1197445.2161608369</v>
      </c>
      <c r="O337">
        <f>K337+L337+N337</f>
        <v>23597445.216160838</v>
      </c>
      <c r="P337">
        <f>FABN_Face*FABN_Rate</f>
        <v>3500000.0000000005</v>
      </c>
      <c r="Q337">
        <v>0</v>
      </c>
      <c r="R337">
        <f>Expenses</f>
        <v>50000</v>
      </c>
      <c r="S337">
        <f>P337+Q337+R337</f>
        <v>3550000.0000000005</v>
      </c>
      <c r="T337">
        <f>O337-S337</f>
        <v>20047445.216160838</v>
      </c>
      <c r="U337">
        <f>U336+T337</f>
        <v>60713299.800841331</v>
      </c>
      <c r="V337">
        <f>MAX(0,-U337)</f>
        <v>0</v>
      </c>
      <c r="W337" cm="1">
        <f t="array" ref="W337">W336*PRODUCT(1/(1+'CIR Scenarios'!AO28:'CIR Scenarios'!AO39/12))</f>
        <v>0.91555455626751991</v>
      </c>
      <c r="X337">
        <f>V337*W337</f>
        <v>0</v>
      </c>
    </row>
    <row r="338" spans="9:24" x14ac:dyDescent="0.2">
      <c r="I338">
        <v>4</v>
      </c>
      <c r="J338">
        <v>40000000</v>
      </c>
      <c r="K338">
        <f>J338*Asset_Coupon</f>
        <v>1600000</v>
      </c>
      <c r="L338">
        <v>20000000</v>
      </c>
      <c r="M338">
        <f>AVERAGE('CIR Scenarios'!AO40:'CIR Scenarios'!AO51)</f>
        <v>4.3760489362502965E-2</v>
      </c>
      <c r="N338">
        <f>IF(U337&gt;0,U337*M338,0)</f>
        <v>2656843.7100971704</v>
      </c>
      <c r="O338">
        <f>K338+L338+N338</f>
        <v>24256843.710097171</v>
      </c>
      <c r="P338">
        <f>FABN_Face*FABN_Rate</f>
        <v>3500000.0000000005</v>
      </c>
      <c r="Q338">
        <v>0</v>
      </c>
      <c r="R338">
        <f>Expenses</f>
        <v>50000</v>
      </c>
      <c r="S338">
        <f>P338+Q338+R338</f>
        <v>3550000.0000000005</v>
      </c>
      <c r="T338">
        <f>O338-S338</f>
        <v>20706843.710097171</v>
      </c>
      <c r="U338">
        <f>U337+T338</f>
        <v>81420143.510938495</v>
      </c>
      <c r="V338">
        <f>MAX(0,-U338)</f>
        <v>0</v>
      </c>
      <c r="W338" cm="1">
        <f t="array" ref="W338">W337*PRODUCT(1/(1+'CIR Scenarios'!AO40:'CIR Scenarios'!AO51/12))</f>
        <v>0.87642412456409657</v>
      </c>
      <c r="X338">
        <f>V338*W338</f>
        <v>0</v>
      </c>
    </row>
    <row r="339" spans="9:24" x14ac:dyDescent="0.2">
      <c r="I339">
        <v>5</v>
      </c>
      <c r="J339">
        <v>20000000</v>
      </c>
      <c r="K339">
        <f>J339*Asset_Coupon</f>
        <v>800000</v>
      </c>
      <c r="L339">
        <v>20000000</v>
      </c>
      <c r="M339">
        <f>AVERAGE('CIR Scenarios'!AO52:'CIR Scenarios'!AO63)</f>
        <v>4.8267226095304948E-2</v>
      </c>
      <c r="N339">
        <f>IF(U338&gt;0,U338*M339,0)</f>
        <v>3929924.4755546441</v>
      </c>
      <c r="O339">
        <f>K339+L339+N339</f>
        <v>24729924.475554645</v>
      </c>
      <c r="P339">
        <f>FABN_Face*FABN_Rate</f>
        <v>3500000.0000000005</v>
      </c>
      <c r="Q339">
        <v>100000000</v>
      </c>
      <c r="R339">
        <f>Expenses</f>
        <v>50000</v>
      </c>
      <c r="S339">
        <f>P339+Q339+R339</f>
        <v>103550000</v>
      </c>
      <c r="T339">
        <f>O339-S339</f>
        <v>-78820075.524445355</v>
      </c>
      <c r="U339">
        <f>U338+T339</f>
        <v>2600067.9864931405</v>
      </c>
      <c r="V339">
        <f>MAX(0,-U339)</f>
        <v>0</v>
      </c>
      <c r="W339" cm="1">
        <f t="array" ref="W339">W338*PRODUCT(1/(1+'CIR Scenarios'!AO52:'CIR Scenarios'!AO63/12))</f>
        <v>0.83520734459500678</v>
      </c>
      <c r="X339">
        <f>V339*W339</f>
        <v>0</v>
      </c>
    </row>
    <row r="340" spans="9:24" x14ac:dyDescent="0.2">
      <c r="U340">
        <f>U339</f>
        <v>2600067.9864931405</v>
      </c>
      <c r="V340">
        <f>MAX(0,-U340)</f>
        <v>0</v>
      </c>
      <c r="W340">
        <f>MATCH(MAX(X335:X339),X335:X339,0)</f>
        <v>1</v>
      </c>
      <c r="X340">
        <f>MAX(X335:X339)</f>
        <v>0</v>
      </c>
    </row>
    <row r="342" spans="9:24" x14ac:dyDescent="0.2">
      <c r="I342">
        <v>1</v>
      </c>
      <c r="J342">
        <v>100000000</v>
      </c>
      <c r="K342">
        <f>J342*Asset_Coupon</f>
        <v>4000000</v>
      </c>
      <c r="L342">
        <v>20000000</v>
      </c>
      <c r="M342">
        <f>AVERAGE('CIR Scenarios'!AP4:'CIR Scenarios'!AP15)</f>
        <v>3.8411639768039879E-2</v>
      </c>
      <c r="N342">
        <v>0</v>
      </c>
      <c r="O342">
        <f>K342+L342+N342</f>
        <v>24000000</v>
      </c>
      <c r="P342">
        <f>FABN_Face*FABN_Rate</f>
        <v>3500000.0000000005</v>
      </c>
      <c r="Q342">
        <v>0</v>
      </c>
      <c r="R342">
        <f>Expenses</f>
        <v>50000</v>
      </c>
      <c r="S342">
        <f>P342+Q342+R342</f>
        <v>3550000.0000000005</v>
      </c>
      <c r="T342">
        <f>O342-S342</f>
        <v>20450000</v>
      </c>
      <c r="U342">
        <f>T342</f>
        <v>20450000</v>
      </c>
      <c r="V342">
        <f>MAX(0,-U342)</f>
        <v>0</v>
      </c>
      <c r="W342" cm="1">
        <f t="array" ref="W342">PRODUCT(1/(1+'CIR Scenarios'!AP4:'CIR Scenarios'!AP15/12))</f>
        <v>0.96237625721745557</v>
      </c>
      <c r="X342">
        <f>V342*W342</f>
        <v>0</v>
      </c>
    </row>
    <row r="343" spans="9:24" x14ac:dyDescent="0.2">
      <c r="I343">
        <v>2</v>
      </c>
      <c r="J343">
        <v>80000000</v>
      </c>
      <c r="K343">
        <f>J343*Asset_Coupon</f>
        <v>3200000</v>
      </c>
      <c r="L343">
        <v>20000000</v>
      </c>
      <c r="M343">
        <f>AVERAGE('CIR Scenarios'!AP16:'CIR Scenarios'!AP27)</f>
        <v>4.907751714152974E-2</v>
      </c>
      <c r="N343">
        <f>IF(U342&gt;0,U342*M343,0)</f>
        <v>1003635.2255442832</v>
      </c>
      <c r="O343">
        <f>K343+L343+N343</f>
        <v>24203635.225544281</v>
      </c>
      <c r="P343">
        <f>FABN_Face*FABN_Rate</f>
        <v>3500000.0000000005</v>
      </c>
      <c r="Q343">
        <v>0</v>
      </c>
      <c r="R343">
        <f>Expenses</f>
        <v>50000</v>
      </c>
      <c r="S343">
        <f>P343+Q343+R343</f>
        <v>3550000.0000000005</v>
      </c>
      <c r="T343">
        <f>O343-S343</f>
        <v>20653635.225544281</v>
      </c>
      <c r="U343">
        <f>U342+T343</f>
        <v>41103635.225544281</v>
      </c>
      <c r="V343">
        <f>MAX(0,-U343)</f>
        <v>0</v>
      </c>
      <c r="W343" cm="1">
        <f t="array" ref="W343">W342*PRODUCT(1/(1+'CIR Scenarios'!AO23:'CIR Scenarios'!AO34/12))</f>
        <v>0.9367292174067986</v>
      </c>
      <c r="X343">
        <f>V343*W343</f>
        <v>0</v>
      </c>
    </row>
    <row r="344" spans="9:24" x14ac:dyDescent="0.2">
      <c r="I344">
        <v>3</v>
      </c>
      <c r="J344">
        <v>60000000</v>
      </c>
      <c r="K344">
        <f>J344*Asset_Coupon</f>
        <v>2400000</v>
      </c>
      <c r="L344">
        <v>20000000</v>
      </c>
      <c r="M344">
        <f>AVERAGE('CIR Scenarios'!AP28:'CIR Scenarios'!AP39)</f>
        <v>5.133203016414787E-2</v>
      </c>
      <c r="N344">
        <f>IF(U343&gt;0,U343*M344,0)</f>
        <v>2109933.0432537701</v>
      </c>
      <c r="O344">
        <f>K344+L344+N344</f>
        <v>24509933.043253772</v>
      </c>
      <c r="P344">
        <f>FABN_Face*FABN_Rate</f>
        <v>3500000.0000000005</v>
      </c>
      <c r="Q344">
        <v>0</v>
      </c>
      <c r="R344">
        <f>Expenses</f>
        <v>50000</v>
      </c>
      <c r="S344">
        <f>P344+Q344+R344</f>
        <v>3550000.0000000005</v>
      </c>
      <c r="T344">
        <f>O344-S344</f>
        <v>20959933.043253772</v>
      </c>
      <c r="U344">
        <f>U343+T344</f>
        <v>62063568.268798053</v>
      </c>
      <c r="V344">
        <f>MAX(0,-U344)</f>
        <v>0</v>
      </c>
      <c r="W344" cm="1">
        <f t="array" ref="W344">W343*PRODUCT(1/(1+'CIR Scenarios'!AO35:'CIR Scenarios'!AO46/12))</f>
        <v>0.90187542392044684</v>
      </c>
      <c r="X344">
        <f>V344*W344</f>
        <v>0</v>
      </c>
    </row>
    <row r="345" spans="9:24" x14ac:dyDescent="0.2">
      <c r="I345">
        <v>4</v>
      </c>
      <c r="J345">
        <v>40000000</v>
      </c>
      <c r="K345">
        <f>J345*Asset_Coupon</f>
        <v>1600000</v>
      </c>
      <c r="L345">
        <v>20000000</v>
      </c>
      <c r="M345">
        <f>AVERAGE('CIR Scenarios'!AP40:'CIR Scenarios'!AP51)</f>
        <v>6.5654363671754368E-2</v>
      </c>
      <c r="N345">
        <f>IF(U344&gt;0,U344*M345,0)</f>
        <v>4074744.0818864219</v>
      </c>
      <c r="O345">
        <f>K345+L345+N345</f>
        <v>25674744.081886422</v>
      </c>
      <c r="P345">
        <f>FABN_Face*FABN_Rate</f>
        <v>3500000.0000000005</v>
      </c>
      <c r="Q345">
        <v>0</v>
      </c>
      <c r="R345">
        <f>Expenses</f>
        <v>50000</v>
      </c>
      <c r="S345">
        <f>P345+Q345+R345</f>
        <v>3550000.0000000005</v>
      </c>
      <c r="T345">
        <f>O345-S345</f>
        <v>22124744.081886422</v>
      </c>
      <c r="U345">
        <f>U344+T345</f>
        <v>84188312.350684479</v>
      </c>
      <c r="V345">
        <f>MAX(0,-U345)</f>
        <v>0</v>
      </c>
      <c r="W345" cm="1">
        <f t="array" ref="W345">W344*PRODUCT(1/(1+'CIR Scenarios'!AO47:'CIR Scenarios'!AO58/12))</f>
        <v>0.85903574791947901</v>
      </c>
      <c r="X345">
        <f>V345*W345</f>
        <v>0</v>
      </c>
    </row>
    <row r="346" spans="9:24" x14ac:dyDescent="0.2">
      <c r="I346">
        <v>5</v>
      </c>
      <c r="J346">
        <v>20000000</v>
      </c>
      <c r="K346">
        <f>J346*Asset_Coupon</f>
        <v>800000</v>
      </c>
      <c r="L346">
        <v>20000000</v>
      </c>
      <c r="M346">
        <f>AVERAGE('CIR Scenarios'!AP52:'CIR Scenarios'!AP63)</f>
        <v>4.9474022535526962E-2</v>
      </c>
      <c r="N346">
        <f>IF(U345&gt;0,U345*M346,0)</f>
        <v>4165134.4624657468</v>
      </c>
      <c r="O346">
        <f>K346+L346+N346</f>
        <v>24965134.462465748</v>
      </c>
      <c r="P346">
        <f>FABN_Face*FABN_Rate</f>
        <v>3500000.0000000005</v>
      </c>
      <c r="Q346">
        <v>100000000</v>
      </c>
      <c r="R346">
        <f>Expenses</f>
        <v>50000</v>
      </c>
      <c r="S346">
        <f>P346+Q346+R346</f>
        <v>103550000</v>
      </c>
      <c r="T346">
        <f>O346-S346</f>
        <v>-78584865.537534252</v>
      </c>
      <c r="U346">
        <f>U345+T346</f>
        <v>5603446.8131502271</v>
      </c>
      <c r="V346">
        <f>MAX(0,-U346)</f>
        <v>0</v>
      </c>
      <c r="W346" cm="1">
        <f t="array" ref="W346">W345*PRODUCT(1/(1+'CIR Scenarios'!AO59:'CIR Scenarios'!AO70/12))</f>
        <v>0.84245611117452746</v>
      </c>
      <c r="X346">
        <f>V346*W346</f>
        <v>0</v>
      </c>
    </row>
    <row r="347" spans="9:24" x14ac:dyDescent="0.2">
      <c r="U347">
        <f>U346</f>
        <v>5603446.8131502271</v>
      </c>
      <c r="V347">
        <f>MAX(0,-U347)</f>
        <v>0</v>
      </c>
      <c r="W347">
        <f>MATCH(MAX(X342:X346),X342:X346,0)</f>
        <v>1</v>
      </c>
      <c r="X347">
        <f>MAX(X342:X346)</f>
        <v>0</v>
      </c>
    </row>
    <row r="349" spans="9:24" x14ac:dyDescent="0.2">
      <c r="I349">
        <v>1</v>
      </c>
      <c r="J349">
        <v>100000000</v>
      </c>
      <c r="K349">
        <f>J349*Asset_Coupon</f>
        <v>4000000</v>
      </c>
      <c r="L349">
        <v>20000000</v>
      </c>
      <c r="M349">
        <f>AVERAGE('CIR Scenarios'!AQ4:'CIR Scenarios'!AQ15)</f>
        <v>5.0409363206474482E-2</v>
      </c>
      <c r="N349">
        <v>0</v>
      </c>
      <c r="O349">
        <f>K349+L349+N349</f>
        <v>24000000</v>
      </c>
      <c r="P349">
        <f>FABN_Face*FABN_Rate</f>
        <v>3500000.0000000005</v>
      </c>
      <c r="Q349">
        <v>0</v>
      </c>
      <c r="R349">
        <f>Expenses</f>
        <v>50000</v>
      </c>
      <c r="S349">
        <f>P349+Q349+R349</f>
        <v>3550000.0000000005</v>
      </c>
      <c r="T349">
        <f>O349-S349</f>
        <v>20450000</v>
      </c>
      <c r="U349">
        <f>T349</f>
        <v>20450000</v>
      </c>
      <c r="V349">
        <f>MAX(0,-U349)</f>
        <v>0</v>
      </c>
      <c r="W349" cm="1">
        <f t="array" ref="W349">PRODUCT(1/(1+'CIR Scenarios'!AQ4:'CIR Scenarios'!AQ15/12))</f>
        <v>0.95094125721227396</v>
      </c>
      <c r="X349">
        <f>V349*W349</f>
        <v>0</v>
      </c>
    </row>
    <row r="350" spans="9:24" x14ac:dyDescent="0.2">
      <c r="I350">
        <v>2</v>
      </c>
      <c r="J350">
        <v>80000000</v>
      </c>
      <c r="K350">
        <f>J350*Asset_Coupon</f>
        <v>3200000</v>
      </c>
      <c r="L350">
        <v>20000000</v>
      </c>
      <c r="M350">
        <f>AVERAGE('CIR Scenarios'!AQ16:'CIR Scenarios'!AQ27)</f>
        <v>5.9558639293029486E-2</v>
      </c>
      <c r="N350">
        <f>IF(U349&gt;0,U349*M350,0)</f>
        <v>1217974.173542453</v>
      </c>
      <c r="O350">
        <f>K350+L350+N350</f>
        <v>24417974.173542455</v>
      </c>
      <c r="P350">
        <f>FABN_Face*FABN_Rate</f>
        <v>3500000.0000000005</v>
      </c>
      <c r="Q350">
        <v>0</v>
      </c>
      <c r="R350">
        <f>Expenses</f>
        <v>50000</v>
      </c>
      <c r="S350">
        <f>P350+Q350+R350</f>
        <v>3550000.0000000005</v>
      </c>
      <c r="T350">
        <f>O350-S350</f>
        <v>20867974.173542455</v>
      </c>
      <c r="U350">
        <f>U349+T350</f>
        <v>41317974.173542455</v>
      </c>
      <c r="V350">
        <f>MAX(0,-U350)</f>
        <v>0</v>
      </c>
      <c r="W350" cm="1">
        <f t="array" ref="W350">W349*PRODUCT(1/(1+'CIR Scenarios'!AQ16:'CIR Scenarios'!AQ27/12))</f>
        <v>0.89609065693117373</v>
      </c>
      <c r="X350">
        <f>V350*W350</f>
        <v>0</v>
      </c>
    </row>
    <row r="351" spans="9:24" x14ac:dyDescent="0.2">
      <c r="I351">
        <v>3</v>
      </c>
      <c r="J351">
        <v>60000000</v>
      </c>
      <c r="K351">
        <f>J351*Asset_Coupon</f>
        <v>2400000</v>
      </c>
      <c r="L351">
        <v>20000000</v>
      </c>
      <c r="M351">
        <f>AVERAGE('CIR Scenarios'!AQ28:'CIR Scenarios'!AQ39)</f>
        <v>5.0832447186054862E-2</v>
      </c>
      <c r="N351">
        <f>IF(U350&gt;0,U350*M351,0)</f>
        <v>2100293.7400113754</v>
      </c>
      <c r="O351">
        <f>K351+L351+N351</f>
        <v>24500293.740011375</v>
      </c>
      <c r="P351">
        <f>FABN_Face*FABN_Rate</f>
        <v>3500000.0000000005</v>
      </c>
      <c r="Q351">
        <v>0</v>
      </c>
      <c r="R351">
        <f>Expenses</f>
        <v>50000</v>
      </c>
      <c r="S351">
        <f>P351+Q351+R351</f>
        <v>3550000.0000000005</v>
      </c>
      <c r="T351">
        <f>O351-S351</f>
        <v>20950293.740011375</v>
      </c>
      <c r="U351">
        <f>U350+T351</f>
        <v>62268267.913553834</v>
      </c>
      <c r="V351">
        <f>MAX(0,-U351)</f>
        <v>0</v>
      </c>
      <c r="W351" cm="1">
        <f t="array" ref="W351">W350*PRODUCT(1/(1+'CIR Scenarios'!AQ28:'CIR Scenarios'!AQ39/12))</f>
        <v>0.85177108122031009</v>
      </c>
      <c r="X351">
        <f>V351*W351</f>
        <v>0</v>
      </c>
    </row>
    <row r="352" spans="9:24" x14ac:dyDescent="0.2">
      <c r="I352">
        <v>4</v>
      </c>
      <c r="J352">
        <v>40000000</v>
      </c>
      <c r="K352">
        <f>J352*Asset_Coupon</f>
        <v>1600000</v>
      </c>
      <c r="L352">
        <v>20000000</v>
      </c>
      <c r="M352">
        <f>AVERAGE('CIR Scenarios'!AQ40:'CIR Scenarios'!AQ51)</f>
        <v>3.7378516523822063E-2</v>
      </c>
      <c r="N352">
        <f>IF(U351&gt;0,U351*M352,0)</f>
        <v>2327495.481116551</v>
      </c>
      <c r="O352">
        <f>K352+L352+N352</f>
        <v>23927495.481116552</v>
      </c>
      <c r="P352">
        <f>FABN_Face*FABN_Rate</f>
        <v>3500000.0000000005</v>
      </c>
      <c r="Q352">
        <v>0</v>
      </c>
      <c r="R352">
        <f>Expenses</f>
        <v>50000</v>
      </c>
      <c r="S352">
        <f>P352+Q352+R352</f>
        <v>3550000.0000000005</v>
      </c>
      <c r="T352">
        <f>O352-S352</f>
        <v>20377495.481116552</v>
      </c>
      <c r="U352">
        <f>U351+T352</f>
        <v>82645763.394670382</v>
      </c>
      <c r="V352">
        <f>MAX(0,-U352)</f>
        <v>0</v>
      </c>
      <c r="W352" cm="1">
        <f t="array" ref="W352">W351*PRODUCT(1/(1+'CIR Scenarios'!AQ40:'CIR Scenarios'!AQ51/12))</f>
        <v>0.82056887831989944</v>
      </c>
      <c r="X352">
        <f>V352*W352</f>
        <v>0</v>
      </c>
    </row>
    <row r="353" spans="9:24" x14ac:dyDescent="0.2">
      <c r="I353">
        <v>5</v>
      </c>
      <c r="J353">
        <v>20000000</v>
      </c>
      <c r="K353">
        <f>J353*Asset_Coupon</f>
        <v>800000</v>
      </c>
      <c r="L353">
        <v>20000000</v>
      </c>
      <c r="M353">
        <f>AVERAGE('CIR Scenarios'!AQ52:'CIR Scenarios'!AQ63)</f>
        <v>2.7536892828134277E-2</v>
      </c>
      <c r="N353">
        <f>IF(U352&gt;0,U352*M353,0)</f>
        <v>2275807.5292983814</v>
      </c>
      <c r="O353">
        <f>K353+L353+N353</f>
        <v>23075807.52929838</v>
      </c>
      <c r="P353">
        <f>FABN_Face*FABN_Rate</f>
        <v>3500000.0000000005</v>
      </c>
      <c r="Q353">
        <v>100000000</v>
      </c>
      <c r="R353">
        <f>Expenses</f>
        <v>50000</v>
      </c>
      <c r="S353">
        <f>P353+Q353+R353</f>
        <v>103550000</v>
      </c>
      <c r="T353">
        <f>O353-S353</f>
        <v>-80474192.47070162</v>
      </c>
      <c r="U353">
        <f>U352+T353</f>
        <v>2171570.9239687622</v>
      </c>
      <c r="V353">
        <f>MAX(0,-U353)</f>
        <v>0</v>
      </c>
      <c r="W353" cm="1">
        <f t="array" ref="W353">W352*PRODUCT(1/(1+'CIR Scenarios'!AQ52:'CIR Scenarios'!AQ63/12))</f>
        <v>0.79830764067847382</v>
      </c>
      <c r="X353">
        <f>V353*W353</f>
        <v>0</v>
      </c>
    </row>
    <row r="354" spans="9:24" x14ac:dyDescent="0.2">
      <c r="U354">
        <f>U353</f>
        <v>2171570.9239687622</v>
      </c>
      <c r="V354">
        <f>MAX(0,-U354)</f>
        <v>0</v>
      </c>
      <c r="W354">
        <f>MATCH(MAX(X349:X353),X349:X353,0)</f>
        <v>1</v>
      </c>
      <c r="X354">
        <f>MAX(X349:X353)</f>
        <v>0</v>
      </c>
    </row>
    <row r="356" spans="9:24" x14ac:dyDescent="0.2">
      <c r="I356">
        <v>1</v>
      </c>
      <c r="J356">
        <v>100000000</v>
      </c>
      <c r="K356">
        <f>J356*Asset_Coupon</f>
        <v>4000000</v>
      </c>
      <c r="L356">
        <v>20000000</v>
      </c>
      <c r="M356">
        <f>AVERAGE('CIR Scenarios'!AR4:'CIR Scenarios'!AR15)</f>
        <v>4.0978470095944367E-2</v>
      </c>
      <c r="N356">
        <v>0</v>
      </c>
      <c r="O356">
        <f>K356+L356+N356</f>
        <v>24000000</v>
      </c>
      <c r="P356">
        <f>FABN_Face*FABN_Rate</f>
        <v>3500000.0000000005</v>
      </c>
      <c r="Q356">
        <v>0</v>
      </c>
      <c r="R356">
        <f>Expenses</f>
        <v>50000</v>
      </c>
      <c r="S356">
        <f>P356+Q356+R356</f>
        <v>3550000.0000000005</v>
      </c>
      <c r="T356">
        <f>O356-S356</f>
        <v>20450000</v>
      </c>
      <c r="U356">
        <f>T356</f>
        <v>20450000</v>
      </c>
      <c r="V356">
        <f>MAX(0,-U356)</f>
        <v>0</v>
      </c>
      <c r="W356" cm="1">
        <f t="array" ref="W356">PRODUCT(1/(1+'CIR Scenarios'!AR4:'CIR Scenarios'!AR15/12))</f>
        <v>0.95991733709390747</v>
      </c>
      <c r="X356">
        <f>V356*W356</f>
        <v>0</v>
      </c>
    </row>
    <row r="357" spans="9:24" x14ac:dyDescent="0.2">
      <c r="I357">
        <v>2</v>
      </c>
      <c r="J357">
        <v>80000000</v>
      </c>
      <c r="K357">
        <f>J357*Asset_Coupon</f>
        <v>3200000</v>
      </c>
      <c r="L357">
        <v>20000000</v>
      </c>
      <c r="M357">
        <f>AVERAGE('CIR Scenarios'!AR16:'CIR Scenarios'!AR27)</f>
        <v>5.0476120499496201E-2</v>
      </c>
      <c r="N357">
        <f>IF(U356&gt;0,U356*M357,0)</f>
        <v>1032236.6642146973</v>
      </c>
      <c r="O357">
        <f>K357+L357+N357</f>
        <v>24232236.664214697</v>
      </c>
      <c r="P357">
        <f>FABN_Face*FABN_Rate</f>
        <v>3500000.0000000005</v>
      </c>
      <c r="Q357">
        <v>0</v>
      </c>
      <c r="R357">
        <f>Expenses</f>
        <v>50000</v>
      </c>
      <c r="S357">
        <f>P357+Q357+R357</f>
        <v>3550000.0000000005</v>
      </c>
      <c r="T357">
        <f>O357-S357</f>
        <v>20682236.664214697</v>
      </c>
      <c r="U357">
        <f>U356+T357</f>
        <v>41132236.6642147</v>
      </c>
      <c r="V357">
        <f>MAX(0,-U357)</f>
        <v>0</v>
      </c>
      <c r="W357" cm="1">
        <f t="array" ref="W357">W356*PRODUCT(1/(1+'CIR Scenarios'!AR16:'CIR Scenarios'!AR27/12))</f>
        <v>0.91276383722812082</v>
      </c>
      <c r="X357">
        <f>V357*W357</f>
        <v>0</v>
      </c>
    </row>
    <row r="358" spans="9:24" x14ac:dyDescent="0.2">
      <c r="I358">
        <v>3</v>
      </c>
      <c r="J358">
        <v>60000000</v>
      </c>
      <c r="K358">
        <f>J358*Asset_Coupon</f>
        <v>2400000</v>
      </c>
      <c r="L358">
        <v>20000000</v>
      </c>
      <c r="M358">
        <f>AVERAGE('CIR Scenarios'!AR28:'CIR Scenarios'!AR39)</f>
        <v>4.3642237427674507E-2</v>
      </c>
      <c r="N358">
        <f>IF(U357&gt;0,U357*M358,0)</f>
        <v>1795102.8384309565</v>
      </c>
      <c r="O358">
        <f>K358+L358+N358</f>
        <v>24195102.838430956</v>
      </c>
      <c r="P358">
        <f>FABN_Face*FABN_Rate</f>
        <v>3500000.0000000005</v>
      </c>
      <c r="Q358">
        <v>0</v>
      </c>
      <c r="R358">
        <f>Expenses</f>
        <v>50000</v>
      </c>
      <c r="S358">
        <f>P358+Q358+R358</f>
        <v>3550000.0000000005</v>
      </c>
      <c r="T358">
        <f>O358-S358</f>
        <v>20645102.838430956</v>
      </c>
      <c r="U358">
        <f>U357+T358</f>
        <v>61777339.502645656</v>
      </c>
      <c r="V358">
        <f>MAX(0,-U358)</f>
        <v>0</v>
      </c>
      <c r="W358" cm="1">
        <f t="array" ref="W358">W357*PRODUCT(1/(1+'CIR Scenarios'!AR28:'CIR Scenarios'!AR39/12))</f>
        <v>0.87385504581753282</v>
      </c>
      <c r="X358">
        <f>V358*W358</f>
        <v>0</v>
      </c>
    </row>
    <row r="359" spans="9:24" x14ac:dyDescent="0.2">
      <c r="I359">
        <v>4</v>
      </c>
      <c r="J359">
        <v>40000000</v>
      </c>
      <c r="K359">
        <f>J359*Asset_Coupon</f>
        <v>1600000</v>
      </c>
      <c r="L359">
        <v>20000000</v>
      </c>
      <c r="M359">
        <f>AVERAGE('CIR Scenarios'!AR40:'CIR Scenarios'!AR51)</f>
        <v>4.5628444905936372E-2</v>
      </c>
      <c r="N359">
        <f>IF(U358&gt;0,U358*M359,0)</f>
        <v>2818803.9319317942</v>
      </c>
      <c r="O359">
        <f>K359+L359+N359</f>
        <v>24418803.931931794</v>
      </c>
      <c r="P359">
        <f>FABN_Face*FABN_Rate</f>
        <v>3500000.0000000005</v>
      </c>
      <c r="Q359">
        <v>0</v>
      </c>
      <c r="R359">
        <f>Expenses</f>
        <v>50000</v>
      </c>
      <c r="S359">
        <f>P359+Q359+R359</f>
        <v>3550000.0000000005</v>
      </c>
      <c r="T359">
        <f>O359-S359</f>
        <v>20868803.931931794</v>
      </c>
      <c r="U359">
        <f>U358+T359</f>
        <v>82646143.43457745</v>
      </c>
      <c r="V359">
        <f>MAX(0,-U359)</f>
        <v>0</v>
      </c>
      <c r="W359" cm="1">
        <f t="array" ref="W359">W358*PRODUCT(1/(1+'CIR Scenarios'!AR40:'CIR Scenarios'!AR51/12))</f>
        <v>0.83495112302798713</v>
      </c>
      <c r="X359">
        <f>V359*W359</f>
        <v>0</v>
      </c>
    </row>
    <row r="360" spans="9:24" x14ac:dyDescent="0.2">
      <c r="I360">
        <v>5</v>
      </c>
      <c r="J360">
        <v>20000000</v>
      </c>
      <c r="K360">
        <f>J360*Asset_Coupon</f>
        <v>800000</v>
      </c>
      <c r="L360">
        <v>20000000</v>
      </c>
      <c r="M360">
        <f>AVERAGE('CIR Scenarios'!AR52:'CIR Scenarios'!AR63)</f>
        <v>6.8329127902765949E-2</v>
      </c>
      <c r="N360">
        <f>IF(U359&gt;0,U359*M360,0)</f>
        <v>5647138.9054115824</v>
      </c>
      <c r="O360">
        <f>K360+L360+N360</f>
        <v>26447138.905411582</v>
      </c>
      <c r="P360">
        <f>FABN_Face*FABN_Rate</f>
        <v>3500000.0000000005</v>
      </c>
      <c r="Q360">
        <v>100000000</v>
      </c>
      <c r="R360">
        <f>Expenses</f>
        <v>50000</v>
      </c>
      <c r="S360">
        <f>P360+Q360+R360</f>
        <v>103550000</v>
      </c>
      <c r="T360">
        <f>O360-S360</f>
        <v>-77102861.094588414</v>
      </c>
      <c r="U360">
        <f>U359+T360</f>
        <v>5543282.3399890363</v>
      </c>
      <c r="V360">
        <f>MAX(0,-U360)</f>
        <v>0</v>
      </c>
      <c r="W360" cm="1">
        <f t="array" ref="W360">W359*PRODUCT(1/(1+'CIR Scenarios'!AR52:'CIR Scenarios'!AR63/12))</f>
        <v>0.77995763547749375</v>
      </c>
      <c r="X360">
        <f>V360*W360</f>
        <v>0</v>
      </c>
    </row>
    <row r="361" spans="9:24" x14ac:dyDescent="0.2">
      <c r="U361">
        <f>U360</f>
        <v>5543282.3399890363</v>
      </c>
      <c r="V361">
        <f>MAX(0,-U361)</f>
        <v>0</v>
      </c>
      <c r="W361">
        <f>MATCH(MAX(X356:X360),X356:X360,0)</f>
        <v>1</v>
      </c>
      <c r="X361">
        <f>MAX(X356:X360)</f>
        <v>0</v>
      </c>
    </row>
    <row r="363" spans="9:24" x14ac:dyDescent="0.2">
      <c r="I363">
        <v>1</v>
      </c>
      <c r="J363">
        <v>100000000</v>
      </c>
      <c r="K363">
        <f>J363*Asset_Coupon</f>
        <v>4000000</v>
      </c>
      <c r="L363">
        <v>20000000</v>
      </c>
      <c r="M363">
        <f>AVERAGE('CIR Scenarios'!AS4:'CIR Scenarios'!AS15)</f>
        <v>4.2224511864288827E-2</v>
      </c>
      <c r="N363">
        <v>0</v>
      </c>
      <c r="O363">
        <f>K363+L363+N363</f>
        <v>24000000</v>
      </c>
      <c r="P363">
        <f>FABN_Face*FABN_Rate</f>
        <v>3500000.0000000005</v>
      </c>
      <c r="Q363">
        <v>0</v>
      </c>
      <c r="R363">
        <f>Expenses</f>
        <v>50000</v>
      </c>
      <c r="S363">
        <f>P363+Q363+R363</f>
        <v>3550000.0000000005</v>
      </c>
      <c r="T363">
        <f>O363-S363</f>
        <v>20450000</v>
      </c>
      <c r="U363">
        <f>T363</f>
        <v>20450000</v>
      </c>
      <c r="V363">
        <f>MAX(0,-U363)</f>
        <v>0</v>
      </c>
      <c r="W363" cm="1">
        <f t="array" ref="W363">PRODUCT(1/(1+'CIR Scenarios'!AS4:'CIR Scenarios'!AS15/12))</f>
        <v>0.95872569795296014</v>
      </c>
      <c r="X363">
        <f>V363*W363</f>
        <v>0</v>
      </c>
    </row>
    <row r="364" spans="9:24" x14ac:dyDescent="0.2">
      <c r="I364">
        <v>2</v>
      </c>
      <c r="J364">
        <v>80000000</v>
      </c>
      <c r="K364">
        <f>J364*Asset_Coupon</f>
        <v>3200000</v>
      </c>
      <c r="L364">
        <v>20000000</v>
      </c>
      <c r="M364">
        <f>AVERAGE('CIR Scenarios'!AS16:'CIR Scenarios'!AS27)</f>
        <v>4.009732827004947E-2</v>
      </c>
      <c r="N364">
        <f>IF(U363&gt;0,U363*M364,0)</f>
        <v>819990.36312251166</v>
      </c>
      <c r="O364">
        <f>K364+L364+N364</f>
        <v>24019990.363122512</v>
      </c>
      <c r="P364">
        <f>FABN_Face*FABN_Rate</f>
        <v>3500000.0000000005</v>
      </c>
      <c r="Q364">
        <v>0</v>
      </c>
      <c r="R364">
        <f>Expenses</f>
        <v>50000</v>
      </c>
      <c r="S364">
        <f>P364+Q364+R364</f>
        <v>3550000.0000000005</v>
      </c>
      <c r="T364">
        <f>O364-S364</f>
        <v>20469990.363122512</v>
      </c>
      <c r="U364">
        <f>U363+T364</f>
        <v>40919990.363122508</v>
      </c>
      <c r="V364">
        <f>MAX(0,-U364)</f>
        <v>0</v>
      </c>
      <c r="W364" cm="1">
        <f t="array" ref="W364">W363*PRODUCT(1/(1+'CIR Scenarios'!AS16:'CIR Scenarios'!AS27/12))</f>
        <v>0.92110568301157725</v>
      </c>
      <c r="X364">
        <f>V364*W364</f>
        <v>0</v>
      </c>
    </row>
    <row r="365" spans="9:24" x14ac:dyDescent="0.2">
      <c r="I365">
        <v>3</v>
      </c>
      <c r="J365">
        <v>60000000</v>
      </c>
      <c r="K365">
        <f>J365*Asset_Coupon</f>
        <v>2400000</v>
      </c>
      <c r="L365">
        <v>20000000</v>
      </c>
      <c r="M365">
        <f>AVERAGE('CIR Scenarios'!AS28:'CIR Scenarios'!AS39)</f>
        <v>2.2282478395577537E-2</v>
      </c>
      <c r="N365">
        <f>IF(U364&gt;0,U364*M365,0)</f>
        <v>911798.80121351837</v>
      </c>
      <c r="O365">
        <f>K365+L365+N365</f>
        <v>23311798.801213518</v>
      </c>
      <c r="P365">
        <f>FABN_Face*FABN_Rate</f>
        <v>3500000.0000000005</v>
      </c>
      <c r="Q365">
        <v>0</v>
      </c>
      <c r="R365">
        <f>Expenses</f>
        <v>50000</v>
      </c>
      <c r="S365">
        <f>P365+Q365+R365</f>
        <v>3550000.0000000005</v>
      </c>
      <c r="T365">
        <f>O365-S365</f>
        <v>19761798.801213518</v>
      </c>
      <c r="U365">
        <f>U364+T365</f>
        <v>60681789.164336026</v>
      </c>
      <c r="V365">
        <f>MAX(0,-U365)</f>
        <v>0</v>
      </c>
      <c r="W365" cm="1">
        <f t="array" ref="W365">W364*PRODUCT(1/(1+'CIR Scenarios'!AS28:'CIR Scenarios'!AS39/12))</f>
        <v>0.90082751081970713</v>
      </c>
      <c r="X365">
        <f>V365*W365</f>
        <v>0</v>
      </c>
    </row>
    <row r="366" spans="9:24" x14ac:dyDescent="0.2">
      <c r="I366">
        <v>4</v>
      </c>
      <c r="J366">
        <v>40000000</v>
      </c>
      <c r="K366">
        <f>J366*Asset_Coupon</f>
        <v>1600000</v>
      </c>
      <c r="L366">
        <v>20000000</v>
      </c>
      <c r="M366">
        <f>AVERAGE('CIR Scenarios'!AS40:'CIR Scenarios'!AS51)</f>
        <v>2.7404919287763341E-2</v>
      </c>
      <c r="N366">
        <f>IF(U365&gt;0,U365*M366,0)</f>
        <v>1662979.5342857009</v>
      </c>
      <c r="O366">
        <f>K366+L366+N366</f>
        <v>23262979.534285702</v>
      </c>
      <c r="P366">
        <f>FABN_Face*FABN_Rate</f>
        <v>3500000.0000000005</v>
      </c>
      <c r="Q366">
        <v>0</v>
      </c>
      <c r="R366">
        <f>Expenses</f>
        <v>50000</v>
      </c>
      <c r="S366">
        <f>P366+Q366+R366</f>
        <v>3550000.0000000005</v>
      </c>
      <c r="T366">
        <f>O366-S366</f>
        <v>19712979.534285702</v>
      </c>
      <c r="U366">
        <f>U365+T366</f>
        <v>80394768.69862172</v>
      </c>
      <c r="V366">
        <f>MAX(0,-U366)</f>
        <v>0</v>
      </c>
      <c r="W366" cm="1">
        <f t="array" ref="W366">W365*PRODUCT(1/(1+'CIR Scenarios'!AS40:'CIR Scenarios'!AS51/12))</f>
        <v>0.87650359829164537</v>
      </c>
      <c r="X366">
        <f>V366*W366</f>
        <v>0</v>
      </c>
    </row>
    <row r="367" spans="9:24" x14ac:dyDescent="0.2">
      <c r="I367">
        <v>5</v>
      </c>
      <c r="J367">
        <v>20000000</v>
      </c>
      <c r="K367">
        <f>J367*Asset_Coupon</f>
        <v>800000</v>
      </c>
      <c r="L367">
        <v>20000000</v>
      </c>
      <c r="M367">
        <f>AVERAGE('CIR Scenarios'!AS52:'CIR Scenarios'!AS63)</f>
        <v>2.9303586028765743E-2</v>
      </c>
      <c r="N367">
        <f>IF(U366&gt;0,U366*M367,0)</f>
        <v>2355855.0208227849</v>
      </c>
      <c r="O367">
        <f>K367+L367+N367</f>
        <v>23155855.020822786</v>
      </c>
      <c r="P367">
        <f>FABN_Face*FABN_Rate</f>
        <v>3500000.0000000005</v>
      </c>
      <c r="Q367">
        <v>100000000</v>
      </c>
      <c r="R367">
        <f>Expenses</f>
        <v>50000</v>
      </c>
      <c r="S367">
        <f>P367+Q367+R367</f>
        <v>103550000</v>
      </c>
      <c r="T367">
        <f>O367-S367</f>
        <v>-80394144.979177207</v>
      </c>
      <c r="U367">
        <f>U366+T367</f>
        <v>623.71944451332092</v>
      </c>
      <c r="V367">
        <f>MAX(0,-U367)</f>
        <v>0</v>
      </c>
      <c r="W367" cm="1">
        <f t="array" ref="W367">W366*PRODUCT(1/(1+'CIR Scenarios'!AS52:'CIR Scenarios'!AS63/12))</f>
        <v>0.85122208003871991</v>
      </c>
      <c r="X367">
        <f>V367*W367</f>
        <v>0</v>
      </c>
    </row>
    <row r="368" spans="9:24" x14ac:dyDescent="0.2">
      <c r="U368">
        <f>U367</f>
        <v>623.71944451332092</v>
      </c>
      <c r="V368">
        <f>MAX(0,-U368)</f>
        <v>0</v>
      </c>
      <c r="W368">
        <f>MATCH(MAX(X363:X367),X363:X367,0)</f>
        <v>1</v>
      </c>
      <c r="X368">
        <f>MAX(X363:X367)</f>
        <v>0</v>
      </c>
    </row>
    <row r="370" spans="9:24" x14ac:dyDescent="0.2">
      <c r="I370">
        <v>1</v>
      </c>
      <c r="J370">
        <v>100000000</v>
      </c>
      <c r="K370">
        <f>J370*Asset_Coupon</f>
        <v>4000000</v>
      </c>
      <c r="L370">
        <v>20000000</v>
      </c>
      <c r="M370">
        <f>AVERAGE('CIR Scenarios'!AT4:'CIR Scenarios'!AT15)</f>
        <v>3.5818309503600196E-2</v>
      </c>
      <c r="N370">
        <v>0</v>
      </c>
      <c r="O370">
        <f>K370+L370+N370</f>
        <v>24000000</v>
      </c>
      <c r="P370">
        <f>FABN_Face*FABN_Rate</f>
        <v>3500000.0000000005</v>
      </c>
      <c r="Q370">
        <v>0</v>
      </c>
      <c r="R370">
        <f>Expenses</f>
        <v>50000</v>
      </c>
      <c r="S370">
        <f>P370+Q370+R370</f>
        <v>3550000.0000000005</v>
      </c>
      <c r="T370">
        <f>O370-S370</f>
        <v>20450000</v>
      </c>
      <c r="U370">
        <f>T370</f>
        <v>20450000</v>
      </c>
      <c r="V370">
        <f>MAX(0,-U370)</f>
        <v>0</v>
      </c>
      <c r="W370" cm="1">
        <f t="array" ref="W370">PRODUCT(1/(1+'CIR Scenarios'!AT4:'CIR Scenarios'!AT15/12))</f>
        <v>0.96486727205457712</v>
      </c>
      <c r="X370">
        <f>V370*W370</f>
        <v>0</v>
      </c>
    </row>
    <row r="371" spans="9:24" x14ac:dyDescent="0.2">
      <c r="I371">
        <v>2</v>
      </c>
      <c r="J371">
        <v>80000000</v>
      </c>
      <c r="K371">
        <f>J371*Asset_Coupon</f>
        <v>3200000</v>
      </c>
      <c r="L371">
        <v>20000000</v>
      </c>
      <c r="M371">
        <f>AVERAGE('CIR Scenarios'!AT16:'CIR Scenarios'!AT27)</f>
        <v>3.2662512473365844E-2</v>
      </c>
      <c r="N371">
        <f>IF(U370&gt;0,U370*M371,0)</f>
        <v>667948.38008033147</v>
      </c>
      <c r="O371">
        <f>K371+L371+N371</f>
        <v>23867948.380080331</v>
      </c>
      <c r="P371">
        <f>FABN_Face*FABN_Rate</f>
        <v>3500000.0000000005</v>
      </c>
      <c r="Q371">
        <v>0</v>
      </c>
      <c r="R371">
        <f>Expenses</f>
        <v>50000</v>
      </c>
      <c r="S371">
        <f>P371+Q371+R371</f>
        <v>3550000.0000000005</v>
      </c>
      <c r="T371">
        <f>O371-S371</f>
        <v>20317948.380080331</v>
      </c>
      <c r="U371">
        <f>U370+T371</f>
        <v>40767948.380080327</v>
      </c>
      <c r="V371">
        <f>MAX(0,-U371)</f>
        <v>0</v>
      </c>
      <c r="W371" cm="1">
        <f t="array" ref="W371">W370*PRODUCT(1/(1+'CIR Scenarios'!AT16:'CIR Scenarios'!AT27/12))</f>
        <v>0.93390355653674972</v>
      </c>
      <c r="X371">
        <f>V371*W371</f>
        <v>0</v>
      </c>
    </row>
    <row r="372" spans="9:24" x14ac:dyDescent="0.2">
      <c r="I372">
        <v>3</v>
      </c>
      <c r="J372">
        <v>60000000</v>
      </c>
      <c r="K372">
        <f>J372*Asset_Coupon</f>
        <v>2400000</v>
      </c>
      <c r="L372">
        <v>20000000</v>
      </c>
      <c r="M372">
        <f>AVERAGE('CIR Scenarios'!AT28:'CIR Scenarios'!AT39)</f>
        <v>4.3745311208977157E-2</v>
      </c>
      <c r="N372">
        <f>IF(U371&gt;0,U371*M372,0)</f>
        <v>1783406.58923813</v>
      </c>
      <c r="O372">
        <f>K372+L372+N372</f>
        <v>24183406.58923813</v>
      </c>
      <c r="P372">
        <f>FABN_Face*FABN_Rate</f>
        <v>3500000.0000000005</v>
      </c>
      <c r="Q372">
        <v>0</v>
      </c>
      <c r="R372">
        <f>Expenses</f>
        <v>50000</v>
      </c>
      <c r="S372">
        <f>P372+Q372+R372</f>
        <v>3550000.0000000005</v>
      </c>
      <c r="T372">
        <f>O372-S372</f>
        <v>20633406.58923813</v>
      </c>
      <c r="U372">
        <f>U371+T372</f>
        <v>61401354.969318457</v>
      </c>
      <c r="V372">
        <f>MAX(0,-U372)</f>
        <v>0</v>
      </c>
      <c r="W372" cm="1">
        <f t="array" ref="W372">W371*PRODUCT(1/(1+'CIR Scenarios'!AT28:'CIR Scenarios'!AT39/12))</f>
        <v>0.89400189908266814</v>
      </c>
      <c r="X372">
        <f>V372*W372</f>
        <v>0</v>
      </c>
    </row>
    <row r="373" spans="9:24" x14ac:dyDescent="0.2">
      <c r="I373">
        <v>4</v>
      </c>
      <c r="J373">
        <v>40000000</v>
      </c>
      <c r="K373">
        <f>J373*Asset_Coupon</f>
        <v>1600000</v>
      </c>
      <c r="L373">
        <v>20000000</v>
      </c>
      <c r="M373">
        <f>AVERAGE('CIR Scenarios'!AT40:'CIR Scenarios'!AT51)</f>
        <v>4.2743293857864489E-2</v>
      </c>
      <c r="N373">
        <f>IF(U372&gt;0,U372*M373,0)</f>
        <v>2624496.158724627</v>
      </c>
      <c r="O373">
        <f>K373+L373+N373</f>
        <v>24224496.158724628</v>
      </c>
      <c r="P373">
        <f>FABN_Face*FABN_Rate</f>
        <v>3500000.0000000005</v>
      </c>
      <c r="Q373">
        <v>0</v>
      </c>
      <c r="R373">
        <f>Expenses</f>
        <v>50000</v>
      </c>
      <c r="S373">
        <f>P373+Q373+R373</f>
        <v>3550000.0000000005</v>
      </c>
      <c r="T373">
        <f>O373-S373</f>
        <v>20674496.158724628</v>
      </c>
      <c r="U373">
        <f>U372+T373</f>
        <v>82075851.128043085</v>
      </c>
      <c r="V373">
        <f>MAX(0,-U373)</f>
        <v>0</v>
      </c>
      <c r="W373" cm="1">
        <f t="array" ref="W373">W372*PRODUCT(1/(1+'CIR Scenarios'!AT40:'CIR Scenarios'!AT51/12))</f>
        <v>0.85666082808916355</v>
      </c>
      <c r="X373">
        <f>V373*W373</f>
        <v>0</v>
      </c>
    </row>
    <row r="374" spans="9:24" x14ac:dyDescent="0.2">
      <c r="I374">
        <v>5</v>
      </c>
      <c r="J374">
        <v>20000000</v>
      </c>
      <c r="K374">
        <f>J374*Asset_Coupon</f>
        <v>800000</v>
      </c>
      <c r="L374">
        <v>20000000</v>
      </c>
      <c r="M374">
        <f>AVERAGE('CIR Scenarios'!AT52:'CIR Scenarios'!AT63)</f>
        <v>3.9290385424161751E-2</v>
      </c>
      <c r="N374">
        <f>IF(U373&gt;0,U373*M374,0)</f>
        <v>3224791.824836934</v>
      </c>
      <c r="O374">
        <f>K374+L374+N374</f>
        <v>24024791.824836932</v>
      </c>
      <c r="P374">
        <f>FABN_Face*FABN_Rate</f>
        <v>3500000.0000000005</v>
      </c>
      <c r="Q374">
        <v>100000000</v>
      </c>
      <c r="R374">
        <f>Expenses</f>
        <v>50000</v>
      </c>
      <c r="S374">
        <f>P374+Q374+R374</f>
        <v>103550000</v>
      </c>
      <c r="T374">
        <f>O374-S374</f>
        <v>-79525208.17516306</v>
      </c>
      <c r="U374">
        <f>U373+T374</f>
        <v>2550642.9528800249</v>
      </c>
      <c r="V374">
        <f>MAX(0,-U374)</f>
        <v>0</v>
      </c>
      <c r="W374" cm="1">
        <f t="array" ref="W374">W373*PRODUCT(1/(1+'CIR Scenarios'!AT52:'CIR Scenarios'!AT63/12))</f>
        <v>0.82370935480771024</v>
      </c>
      <c r="X374">
        <f>V374*W374</f>
        <v>0</v>
      </c>
    </row>
    <row r="375" spans="9:24" x14ac:dyDescent="0.2">
      <c r="U375">
        <f>U374</f>
        <v>2550642.9528800249</v>
      </c>
      <c r="V375">
        <f>MAX(0,-U375)</f>
        <v>0</v>
      </c>
      <c r="W375">
        <f>MATCH(MAX(X370:X374),X370:X374,0)</f>
        <v>1</v>
      </c>
      <c r="X375">
        <f>MAX(X370:X374)</f>
        <v>0</v>
      </c>
    </row>
    <row r="377" spans="9:24" x14ac:dyDescent="0.2">
      <c r="I377">
        <v>1</v>
      </c>
      <c r="J377">
        <v>100000000</v>
      </c>
      <c r="K377">
        <f>J377*Asset_Coupon</f>
        <v>4000000</v>
      </c>
      <c r="L377">
        <v>20000000</v>
      </c>
      <c r="M377">
        <f>AVERAGE('CIR Scenarios'!AU4:'CIR Scenarios'!AU15)</f>
        <v>3.0734382845952462E-2</v>
      </c>
      <c r="N377">
        <v>0</v>
      </c>
      <c r="O377">
        <f>K377+L377+N377</f>
        <v>24000000</v>
      </c>
      <c r="P377">
        <f>FABN_Face*FABN_Rate</f>
        <v>3500000.0000000005</v>
      </c>
      <c r="Q377">
        <v>0</v>
      </c>
      <c r="R377">
        <f>Expenses</f>
        <v>50000</v>
      </c>
      <c r="S377">
        <f>P377+Q377+R377</f>
        <v>3550000.0000000005</v>
      </c>
      <c r="T377">
        <f>O377-S377</f>
        <v>20450000</v>
      </c>
      <c r="U377">
        <f>T377</f>
        <v>20450000</v>
      </c>
      <c r="V377">
        <f>MAX(0,-U377)</f>
        <v>0</v>
      </c>
      <c r="W377" cm="1">
        <f t="array" ref="W377">PRODUCT(1/(1+'CIR Scenarios'!AU4:'CIR Scenarios'!AU15/12))</f>
        <v>0.96977285029306737</v>
      </c>
      <c r="X377">
        <f>V377*W377</f>
        <v>0</v>
      </c>
    </row>
    <row r="378" spans="9:24" x14ac:dyDescent="0.2">
      <c r="I378">
        <v>2</v>
      </c>
      <c r="J378">
        <v>80000000</v>
      </c>
      <c r="K378">
        <f>J378*Asset_Coupon</f>
        <v>3200000</v>
      </c>
      <c r="L378">
        <v>20000000</v>
      </c>
      <c r="M378">
        <f>AVERAGE('CIR Scenarios'!AU16:'CIR Scenarios'!AU27)</f>
        <v>1.8239546512502775E-2</v>
      </c>
      <c r="N378">
        <f>IF(U377&gt;0,U377*M378,0)</f>
        <v>372998.72618068173</v>
      </c>
      <c r="O378">
        <f>K378+L378+N378</f>
        <v>23572998.72618068</v>
      </c>
      <c r="P378">
        <f>FABN_Face*FABN_Rate</f>
        <v>3500000.0000000005</v>
      </c>
      <c r="Q378">
        <v>0</v>
      </c>
      <c r="R378">
        <f>Expenses</f>
        <v>50000</v>
      </c>
      <c r="S378">
        <f>P378+Q378+R378</f>
        <v>3550000.0000000005</v>
      </c>
      <c r="T378">
        <f>O378-S378</f>
        <v>20022998.72618068</v>
      </c>
      <c r="U378">
        <f>U377+T378</f>
        <v>40472998.72618068</v>
      </c>
      <c r="V378">
        <f>MAX(0,-U378)</f>
        <v>0</v>
      </c>
      <c r="W378" cm="1">
        <f t="array" ref="W378">W377*PRODUCT(1/(1+'CIR Scenarios'!AU16:'CIR Scenarios'!AU27/12))</f>
        <v>0.95225831918194148</v>
      </c>
      <c r="X378">
        <f>V378*W378</f>
        <v>0</v>
      </c>
    </row>
    <row r="379" spans="9:24" x14ac:dyDescent="0.2">
      <c r="I379">
        <v>3</v>
      </c>
      <c r="J379">
        <v>60000000</v>
      </c>
      <c r="K379">
        <f>J379*Asset_Coupon</f>
        <v>2400000</v>
      </c>
      <c r="L379">
        <v>20000000</v>
      </c>
      <c r="M379">
        <f>AVERAGE('CIR Scenarios'!AU28:'CIR Scenarios'!AU39)</f>
        <v>1.8448376079169115E-2</v>
      </c>
      <c r="N379">
        <f>IF(U378&gt;0,U378*M379,0)</f>
        <v>746661.10155231366</v>
      </c>
      <c r="O379">
        <f>K379+L379+N379</f>
        <v>23146661.101552315</v>
      </c>
      <c r="P379">
        <f>FABN_Face*FABN_Rate</f>
        <v>3500000.0000000005</v>
      </c>
      <c r="Q379">
        <v>0</v>
      </c>
      <c r="R379">
        <f>Expenses</f>
        <v>50000</v>
      </c>
      <c r="S379">
        <f>P379+Q379+R379</f>
        <v>3550000.0000000005</v>
      </c>
      <c r="T379">
        <f>O379-S379</f>
        <v>19596661.101552315</v>
      </c>
      <c r="U379">
        <f>U378+T379</f>
        <v>60069659.827732995</v>
      </c>
      <c r="V379">
        <f>MAX(0,-U379)</f>
        <v>0</v>
      </c>
      <c r="W379" cm="1">
        <f t="array" ref="W379">W378*PRODUCT(1/(1+'CIR Scenarios'!AU28:'CIR Scenarios'!AU39/12))</f>
        <v>0.93486512392265153</v>
      </c>
      <c r="X379">
        <f>V379*W379</f>
        <v>0</v>
      </c>
    </row>
    <row r="380" spans="9:24" x14ac:dyDescent="0.2">
      <c r="I380">
        <v>4</v>
      </c>
      <c r="J380">
        <v>40000000</v>
      </c>
      <c r="K380">
        <f>J380*Asset_Coupon</f>
        <v>1600000</v>
      </c>
      <c r="L380">
        <v>20000000</v>
      </c>
      <c r="M380">
        <f>AVERAGE('CIR Scenarios'!AU40:'CIR Scenarios'!AU51)</f>
        <v>2.378923386344323E-2</v>
      </c>
      <c r="N380">
        <f>IF(U379&gt;0,U379*M380,0)</f>
        <v>1429011.1857394213</v>
      </c>
      <c r="O380">
        <f>K380+L380+N380</f>
        <v>23029011.18573942</v>
      </c>
      <c r="P380">
        <f>FABN_Face*FABN_Rate</f>
        <v>3500000.0000000005</v>
      </c>
      <c r="Q380">
        <v>0</v>
      </c>
      <c r="R380">
        <f>Expenses</f>
        <v>50000</v>
      </c>
      <c r="S380">
        <f>P380+Q380+R380</f>
        <v>3550000.0000000005</v>
      </c>
      <c r="T380">
        <f>O380-S380</f>
        <v>19479011.18573942</v>
      </c>
      <c r="U380">
        <f>U379+T380</f>
        <v>79548671.013472408</v>
      </c>
      <c r="V380">
        <f>MAX(0,-U380)</f>
        <v>0</v>
      </c>
      <c r="W380" cm="1">
        <f t="array" ref="W380">W379*PRODUCT(1/(1+'CIR Scenarios'!AU40:'CIR Scenarios'!AU51/12))</f>
        <v>0.91290948074685585</v>
      </c>
      <c r="X380">
        <f>V380*W380</f>
        <v>0</v>
      </c>
    </row>
    <row r="381" spans="9:24" x14ac:dyDescent="0.2">
      <c r="I381">
        <v>5</v>
      </c>
      <c r="J381">
        <v>20000000</v>
      </c>
      <c r="K381">
        <f>J381*Asset_Coupon</f>
        <v>800000</v>
      </c>
      <c r="L381">
        <v>20000000</v>
      </c>
      <c r="M381">
        <f>AVERAGE('CIR Scenarios'!AU52:'CIR Scenarios'!AU63)</f>
        <v>3.157267388906821E-2</v>
      </c>
      <c r="N381">
        <f>IF(U380&gt;0,U380*M381,0)</f>
        <v>2511564.2482171375</v>
      </c>
      <c r="O381">
        <f>K381+L381+N381</f>
        <v>23311564.248217136</v>
      </c>
      <c r="P381">
        <f>FABN_Face*FABN_Rate</f>
        <v>3500000.0000000005</v>
      </c>
      <c r="Q381">
        <v>100000000</v>
      </c>
      <c r="R381">
        <f>Expenses</f>
        <v>50000</v>
      </c>
      <c r="S381">
        <f>P381+Q381+R381</f>
        <v>103550000</v>
      </c>
      <c r="T381">
        <f>O381-S381</f>
        <v>-80238435.751782864</v>
      </c>
      <c r="U381">
        <f>U380+T381</f>
        <v>-689764.73831045628</v>
      </c>
      <c r="V381">
        <f>MAX(0,-U381)</f>
        <v>689764.73831045628</v>
      </c>
      <c r="W381" cm="1">
        <f t="array" ref="W381">W380*PRODUCT(1/(1+'CIR Scenarios'!AU52:'CIR Scenarios'!AU63/12))</f>
        <v>0.88457414694760939</v>
      </c>
      <c r="X381">
        <f>V381*W381</f>
        <v>610148.05498551286</v>
      </c>
    </row>
    <row r="382" spans="9:24" x14ac:dyDescent="0.2">
      <c r="U382">
        <f>U381</f>
        <v>-689764.73831045628</v>
      </c>
      <c r="V382">
        <f>MAX(0,-U382)</f>
        <v>689764.73831045628</v>
      </c>
      <c r="W382">
        <f>MATCH(MAX(X377:X381),X377:X381,0)</f>
        <v>5</v>
      </c>
      <c r="X382">
        <f>MAX(X377:X381)</f>
        <v>610148.05498551286</v>
      </c>
    </row>
    <row r="384" spans="9:24" x14ac:dyDescent="0.2">
      <c r="I384">
        <v>1</v>
      </c>
      <c r="J384">
        <v>100000000</v>
      </c>
      <c r="K384">
        <f>J384*Asset_Coupon</f>
        <v>4000000</v>
      </c>
      <c r="L384">
        <v>20000000</v>
      </c>
      <c r="M384">
        <f>AVERAGE('CIR Scenarios'!AV4:'CIR Scenarios'!AV15)</f>
        <v>4.5041369584821613E-2</v>
      </c>
      <c r="N384">
        <v>0</v>
      </c>
      <c r="O384">
        <f>K384+L384+N384</f>
        <v>24000000</v>
      </c>
      <c r="P384">
        <f>FABN_Face*FABN_Rate</f>
        <v>3500000.0000000005</v>
      </c>
      <c r="Q384">
        <v>0</v>
      </c>
      <c r="R384">
        <f>Expenses</f>
        <v>50000</v>
      </c>
      <c r="S384">
        <f>P384+Q384+R384</f>
        <v>3550000.0000000005</v>
      </c>
      <c r="T384">
        <f>O384-S384</f>
        <v>20450000</v>
      </c>
      <c r="U384">
        <f>T384</f>
        <v>20450000</v>
      </c>
      <c r="V384">
        <f>MAX(0,-U384)</f>
        <v>0</v>
      </c>
      <c r="W384" cm="1">
        <f t="array" ref="W384">PRODUCT(1/(1+'CIR Scenarios'!AV4:'CIR Scenarios'!AV15/12))</f>
        <v>0.95603923765307719</v>
      </c>
      <c r="X384">
        <f>V384*W384</f>
        <v>0</v>
      </c>
    </row>
    <row r="385" spans="9:24" x14ac:dyDescent="0.2">
      <c r="I385">
        <v>2</v>
      </c>
      <c r="J385">
        <v>80000000</v>
      </c>
      <c r="K385">
        <f>J385*Asset_Coupon</f>
        <v>3200000</v>
      </c>
      <c r="L385">
        <v>20000000</v>
      </c>
      <c r="M385">
        <f>AVERAGE('CIR Scenarios'!AV16:'CIR Scenarios'!AV27)</f>
        <v>4.5740780384557027E-2</v>
      </c>
      <c r="N385">
        <f>IF(U384&gt;0,U384*M385,0)</f>
        <v>935398.9588641912</v>
      </c>
      <c r="O385">
        <f>K385+L385+N385</f>
        <v>24135398.95886419</v>
      </c>
      <c r="P385">
        <f>FABN_Face*FABN_Rate</f>
        <v>3500000.0000000005</v>
      </c>
      <c r="Q385">
        <v>0</v>
      </c>
      <c r="R385">
        <f>Expenses</f>
        <v>50000</v>
      </c>
      <c r="S385">
        <f>P385+Q385+R385</f>
        <v>3550000.0000000005</v>
      </c>
      <c r="T385">
        <f>O385-S385</f>
        <v>20585398.95886419</v>
      </c>
      <c r="U385">
        <f>U384+T385</f>
        <v>41035398.95886419</v>
      </c>
      <c r="V385">
        <f>MAX(0,-U385)</f>
        <v>0</v>
      </c>
      <c r="W385" cm="1">
        <f t="array" ref="W385">W384*PRODUCT(1/(1+'CIR Scenarios'!AV16:'CIR Scenarios'!AV27/12))</f>
        <v>0.9133750770488982</v>
      </c>
      <c r="X385">
        <f>V385*W385</f>
        <v>0</v>
      </c>
    </row>
    <row r="386" spans="9:24" x14ac:dyDescent="0.2">
      <c r="I386">
        <v>3</v>
      </c>
      <c r="J386">
        <v>60000000</v>
      </c>
      <c r="K386">
        <f>J386*Asset_Coupon</f>
        <v>2400000</v>
      </c>
      <c r="L386">
        <v>20000000</v>
      </c>
      <c r="M386">
        <f>AVERAGE('CIR Scenarios'!AV28:'CIR Scenarios'!AV39)</f>
        <v>2.7296564609133225E-2</v>
      </c>
      <c r="N386">
        <f>IF(U385&gt;0,U385*M386,0)</f>
        <v>1120125.4189421947</v>
      </c>
      <c r="O386">
        <f>K386+L386+N386</f>
        <v>23520125.418942194</v>
      </c>
      <c r="P386">
        <f>FABN_Face*FABN_Rate</f>
        <v>3500000.0000000005</v>
      </c>
      <c r="Q386">
        <v>0</v>
      </c>
      <c r="R386">
        <f>Expenses</f>
        <v>50000</v>
      </c>
      <c r="S386">
        <f>P386+Q386+R386</f>
        <v>3550000.0000000005</v>
      </c>
      <c r="T386">
        <f>O386-S386</f>
        <v>19970125.418942194</v>
      </c>
      <c r="U386">
        <f>U385+T386</f>
        <v>61005524.37780638</v>
      </c>
      <c r="V386">
        <f>MAX(0,-U386)</f>
        <v>0</v>
      </c>
      <c r="W386" cm="1">
        <f t="array" ref="W386">W385*PRODUCT(1/(1+'CIR Scenarios'!AV28:'CIR Scenarios'!AV39/12))</f>
        <v>0.88880834244504314</v>
      </c>
      <c r="X386">
        <f>V386*W386</f>
        <v>0</v>
      </c>
    </row>
    <row r="387" spans="9:24" x14ac:dyDescent="0.2">
      <c r="I387">
        <v>4</v>
      </c>
      <c r="J387">
        <v>40000000</v>
      </c>
      <c r="K387">
        <f>J387*Asset_Coupon</f>
        <v>1600000</v>
      </c>
      <c r="L387">
        <v>20000000</v>
      </c>
      <c r="M387">
        <f>AVERAGE('CIR Scenarios'!AV40:'CIR Scenarios'!AV51)</f>
        <v>2.2838697224826048E-2</v>
      </c>
      <c r="N387">
        <f>IF(U386&gt;0,U386*M387,0)</f>
        <v>1393286.7003064645</v>
      </c>
      <c r="O387">
        <f>K387+L387+N387</f>
        <v>22993286.700306464</v>
      </c>
      <c r="P387">
        <f>FABN_Face*FABN_Rate</f>
        <v>3500000.0000000005</v>
      </c>
      <c r="Q387">
        <v>0</v>
      </c>
      <c r="R387">
        <f>Expenses</f>
        <v>50000</v>
      </c>
      <c r="S387">
        <f>P387+Q387+R387</f>
        <v>3550000.0000000005</v>
      </c>
      <c r="T387">
        <f>O387-S387</f>
        <v>19443286.700306464</v>
      </c>
      <c r="U387">
        <f>U386+T387</f>
        <v>80448811.078112841</v>
      </c>
      <c r="V387">
        <f>MAX(0,-U387)</f>
        <v>0</v>
      </c>
      <c r="W387" cm="1">
        <f t="array" ref="W387">W386*PRODUCT(1/(1+'CIR Scenarios'!AV40:'CIR Scenarios'!AV51/12))</f>
        <v>0.8687583280083897</v>
      </c>
      <c r="X387">
        <f>V387*W387</f>
        <v>0</v>
      </c>
    </row>
    <row r="388" spans="9:24" x14ac:dyDescent="0.2">
      <c r="I388">
        <v>5</v>
      </c>
      <c r="J388">
        <v>20000000</v>
      </c>
      <c r="K388">
        <f>J388*Asset_Coupon</f>
        <v>800000</v>
      </c>
      <c r="L388">
        <v>20000000</v>
      </c>
      <c r="M388">
        <f>AVERAGE('CIR Scenarios'!AV52:'CIR Scenarios'!AV63)</f>
        <v>1.6793551293737892E-2</v>
      </c>
      <c r="N388">
        <f>IF(U387&gt;0,U387*M388,0)</f>
        <v>1351021.2353605172</v>
      </c>
      <c r="O388">
        <f>K388+L388+N388</f>
        <v>22151021.235360518</v>
      </c>
      <c r="P388">
        <f>FABN_Face*FABN_Rate</f>
        <v>3500000.0000000005</v>
      </c>
      <c r="Q388">
        <v>100000000</v>
      </c>
      <c r="R388">
        <f>Expenses</f>
        <v>50000</v>
      </c>
      <c r="S388">
        <f>P388+Q388+R388</f>
        <v>103550000</v>
      </c>
      <c r="T388">
        <f>O388-S388</f>
        <v>-81398978.764639482</v>
      </c>
      <c r="U388">
        <f>U387+T388</f>
        <v>-950167.68652664125</v>
      </c>
      <c r="V388">
        <f>MAX(0,-U388)</f>
        <v>950167.68652664125</v>
      </c>
      <c r="W388" cm="1">
        <f t="array" ref="W388">W387*PRODUCT(1/(1+'CIR Scenarios'!AV52:'CIR Scenarios'!AV63/12))</f>
        <v>0.8543016543436317</v>
      </c>
      <c r="X388">
        <f>V388*W388</f>
        <v>811729.82650357089</v>
      </c>
    </row>
    <row r="389" spans="9:24" x14ac:dyDescent="0.2">
      <c r="U389">
        <f>U388</f>
        <v>-950167.68652664125</v>
      </c>
      <c r="V389">
        <f>MAX(0,-U389)</f>
        <v>950167.68652664125</v>
      </c>
      <c r="W389">
        <f>MATCH(MAX(X384:X388),X384:X388,0)</f>
        <v>5</v>
      </c>
      <c r="X389">
        <f>MAX(X384:X388)</f>
        <v>811729.82650357089</v>
      </c>
    </row>
    <row r="391" spans="9:24" x14ac:dyDescent="0.2">
      <c r="I391">
        <v>1</v>
      </c>
      <c r="J391">
        <v>100000000</v>
      </c>
      <c r="K391">
        <f>J391*Asset_Coupon</f>
        <v>4000000</v>
      </c>
      <c r="L391">
        <v>20000000</v>
      </c>
      <c r="M391">
        <f>AVERAGE('CIR Scenarios'!AW4:'CIR Scenarios'!AW15)</f>
        <v>3.6179385578755489E-2</v>
      </c>
      <c r="N391">
        <v>0</v>
      </c>
      <c r="O391">
        <f>K391+L391+N391</f>
        <v>24000000</v>
      </c>
      <c r="P391">
        <f>FABN_Face*FABN_Rate</f>
        <v>3500000.0000000005</v>
      </c>
      <c r="Q391">
        <v>0</v>
      </c>
      <c r="R391">
        <f>Expenses</f>
        <v>50000</v>
      </c>
      <c r="S391">
        <f>P391+Q391+R391</f>
        <v>3550000.0000000005</v>
      </c>
      <c r="T391">
        <f>O391-S391</f>
        <v>20450000</v>
      </c>
      <c r="U391">
        <f>T391</f>
        <v>20450000</v>
      </c>
      <c r="V391">
        <f>MAX(0,-U391)</f>
        <v>0</v>
      </c>
      <c r="W391" cm="1">
        <f t="array" ref="W391">PRODUCT(1/(1+'CIR Scenarios'!AW4:'CIR Scenarios'!AW15/12))</f>
        <v>0.9645202455790205</v>
      </c>
      <c r="X391">
        <f>V391*W391</f>
        <v>0</v>
      </c>
    </row>
    <row r="392" spans="9:24" x14ac:dyDescent="0.2">
      <c r="I392">
        <v>2</v>
      </c>
      <c r="J392">
        <v>80000000</v>
      </c>
      <c r="K392">
        <f>J392*Asset_Coupon</f>
        <v>3200000</v>
      </c>
      <c r="L392">
        <v>20000000</v>
      </c>
      <c r="M392">
        <f>AVERAGE('CIR Scenarios'!AW16:'CIR Scenarios'!AW27)</f>
        <v>3.0125666624433483E-2</v>
      </c>
      <c r="N392">
        <f>IF(U391&gt;0,U391*M392,0)</f>
        <v>616069.88246966468</v>
      </c>
      <c r="O392">
        <f>K392+L392+N392</f>
        <v>23816069.882469665</v>
      </c>
      <c r="P392">
        <f>FABN_Face*FABN_Rate</f>
        <v>3500000.0000000005</v>
      </c>
      <c r="Q392">
        <v>0</v>
      </c>
      <c r="R392">
        <f>Expenses</f>
        <v>50000</v>
      </c>
      <c r="S392">
        <f>P392+Q392+R392</f>
        <v>3550000.0000000005</v>
      </c>
      <c r="T392">
        <f>O392-S392</f>
        <v>20266069.882469665</v>
      </c>
      <c r="U392">
        <f>U391+T392</f>
        <v>40716069.882469669</v>
      </c>
      <c r="V392">
        <f>MAX(0,-U392)</f>
        <v>0</v>
      </c>
      <c r="W392" cm="1">
        <f t="array" ref="W392">W391*PRODUCT(1/(1+'CIR Scenarios'!AW16:'CIR Scenarios'!AW27/12))</f>
        <v>0.93593278915907463</v>
      </c>
      <c r="X392">
        <f>V392*W392</f>
        <v>0</v>
      </c>
    </row>
    <row r="393" spans="9:24" x14ac:dyDescent="0.2">
      <c r="I393">
        <v>3</v>
      </c>
      <c r="J393">
        <v>60000000</v>
      </c>
      <c r="K393">
        <f>J393*Asset_Coupon</f>
        <v>2400000</v>
      </c>
      <c r="L393">
        <v>20000000</v>
      </c>
      <c r="M393">
        <f>AVERAGE('CIR Scenarios'!AW28:'CIR Scenarios'!AW39)</f>
        <v>4.4859143704849246E-2</v>
      </c>
      <c r="N393">
        <f>IF(U392&gt;0,U392*M393,0)</f>
        <v>1826488.0299543913</v>
      </c>
      <c r="O393">
        <f>K393+L393+N393</f>
        <v>24226488.029954392</v>
      </c>
      <c r="P393">
        <f>FABN_Face*FABN_Rate</f>
        <v>3500000.0000000005</v>
      </c>
      <c r="Q393">
        <v>0</v>
      </c>
      <c r="R393">
        <f>Expenses</f>
        <v>50000</v>
      </c>
      <c r="S393">
        <f>P393+Q393+R393</f>
        <v>3550000.0000000005</v>
      </c>
      <c r="T393">
        <f>O393-S393</f>
        <v>20676488.029954392</v>
      </c>
      <c r="U393">
        <f>U392+T393</f>
        <v>61392557.912424058</v>
      </c>
      <c r="V393">
        <f>MAX(0,-U393)</f>
        <v>0</v>
      </c>
      <c r="W393" cm="1">
        <f t="array" ref="W393">W392*PRODUCT(1/(1+'CIR Scenarios'!AW28:'CIR Scenarios'!AW39/12))</f>
        <v>0.89495333956994305</v>
      </c>
      <c r="X393">
        <f>V393*W393</f>
        <v>0</v>
      </c>
    </row>
    <row r="394" spans="9:24" x14ac:dyDescent="0.2">
      <c r="I394">
        <v>4</v>
      </c>
      <c r="J394">
        <v>40000000</v>
      </c>
      <c r="K394">
        <f>J394*Asset_Coupon</f>
        <v>1600000</v>
      </c>
      <c r="L394">
        <v>20000000</v>
      </c>
      <c r="M394">
        <f>AVERAGE('CIR Scenarios'!AW40:'CIR Scenarios'!AW51)</f>
        <v>4.4788891395475809E-2</v>
      </c>
      <c r="N394">
        <f>IF(U393&gt;0,U393*M394,0)</f>
        <v>2749704.6088300203</v>
      </c>
      <c r="O394">
        <f>K394+L394+N394</f>
        <v>24349704.60883002</v>
      </c>
      <c r="P394">
        <f>FABN_Face*FABN_Rate</f>
        <v>3500000.0000000005</v>
      </c>
      <c r="Q394">
        <v>0</v>
      </c>
      <c r="R394">
        <f>Expenses</f>
        <v>50000</v>
      </c>
      <c r="S394">
        <f>P394+Q394+R394</f>
        <v>3550000.0000000005</v>
      </c>
      <c r="T394">
        <f>O394-S394</f>
        <v>20799704.60883002</v>
      </c>
      <c r="U394">
        <f>U393+T394</f>
        <v>82192262.521254078</v>
      </c>
      <c r="V394">
        <f>MAX(0,-U394)</f>
        <v>0</v>
      </c>
      <c r="W394" cm="1">
        <f t="array" ref="W394">W393*PRODUCT(1/(1+'CIR Scenarios'!AW40:'CIR Scenarios'!AW51/12))</f>
        <v>0.85582581952078118</v>
      </c>
      <c r="X394">
        <f>V394*W394</f>
        <v>0</v>
      </c>
    </row>
    <row r="395" spans="9:24" x14ac:dyDescent="0.2">
      <c r="I395">
        <v>5</v>
      </c>
      <c r="J395">
        <v>20000000</v>
      </c>
      <c r="K395">
        <f>J395*Asset_Coupon</f>
        <v>800000</v>
      </c>
      <c r="L395">
        <v>20000000</v>
      </c>
      <c r="M395">
        <f>AVERAGE('CIR Scenarios'!AW52:'CIR Scenarios'!AW63)</f>
        <v>5.805937083267438E-2</v>
      </c>
      <c r="N395">
        <f>IF(U394&gt;0,U394*M395,0)</f>
        <v>4772031.0492980145</v>
      </c>
      <c r="O395">
        <f>K395+L395+N395</f>
        <v>25572031.049298014</v>
      </c>
      <c r="P395">
        <f>FABN_Face*FABN_Rate</f>
        <v>3500000.0000000005</v>
      </c>
      <c r="Q395">
        <v>100000000</v>
      </c>
      <c r="R395">
        <f>Expenses</f>
        <v>50000</v>
      </c>
      <c r="S395">
        <f>P395+Q395+R395</f>
        <v>103550000</v>
      </c>
      <c r="T395">
        <f>O395-S395</f>
        <v>-77977968.950701982</v>
      </c>
      <c r="U395">
        <f>U394+T395</f>
        <v>4214293.5705520958</v>
      </c>
      <c r="V395">
        <f>MAX(0,-U395)</f>
        <v>0</v>
      </c>
      <c r="W395" cm="1">
        <f t="array" ref="W395">W394*PRODUCT(1/(1+'CIR Scenarios'!AW52:'CIR Scenarios'!AW63/12))</f>
        <v>0.80766570868539189</v>
      </c>
      <c r="X395">
        <f>V395*W395</f>
        <v>0</v>
      </c>
    </row>
    <row r="396" spans="9:24" x14ac:dyDescent="0.2">
      <c r="U396">
        <f>U395</f>
        <v>4214293.5705520958</v>
      </c>
      <c r="V396">
        <f>MAX(0,-U396)</f>
        <v>0</v>
      </c>
      <c r="W396">
        <f>MATCH(MAX(X391:X395),X391:X395,0)</f>
        <v>1</v>
      </c>
      <c r="X396">
        <f>MAX(X391:X395)</f>
        <v>0</v>
      </c>
    </row>
    <row r="398" spans="9:24" x14ac:dyDescent="0.2">
      <c r="I398">
        <v>1</v>
      </c>
      <c r="J398">
        <v>100000000</v>
      </c>
      <c r="K398">
        <f>J398*Asset_Coupon</f>
        <v>4000000</v>
      </c>
      <c r="L398">
        <v>20000000</v>
      </c>
      <c r="M398">
        <f>AVERAGE('CIR Scenarios'!AX4:'CIR Scenarios'!AX15)</f>
        <v>4.5425550276836597E-2</v>
      </c>
      <c r="N398">
        <v>0</v>
      </c>
      <c r="O398">
        <f>K398+L398+N398</f>
        <v>24000000</v>
      </c>
      <c r="P398">
        <f>FABN_Face*FABN_Rate</f>
        <v>3500000.0000000005</v>
      </c>
      <c r="Q398">
        <v>0</v>
      </c>
      <c r="R398">
        <f>Expenses</f>
        <v>50000</v>
      </c>
      <c r="S398">
        <f>P398+Q398+R398</f>
        <v>3550000.0000000005</v>
      </c>
      <c r="T398">
        <f>O398-S398</f>
        <v>20450000</v>
      </c>
      <c r="U398">
        <f>T398</f>
        <v>20450000</v>
      </c>
      <c r="V398">
        <f>MAX(0,-U398)</f>
        <v>0</v>
      </c>
      <c r="W398" cm="1">
        <f t="array" ref="W398">PRODUCT(1/(1+'CIR Scenarios'!AX4:'CIR Scenarios'!AX15/12))</f>
        <v>0.95567309765189379</v>
      </c>
      <c r="X398">
        <f>V398*W398</f>
        <v>0</v>
      </c>
    </row>
    <row r="399" spans="9:24" x14ac:dyDescent="0.2">
      <c r="I399">
        <v>2</v>
      </c>
      <c r="J399">
        <v>80000000</v>
      </c>
      <c r="K399">
        <f>J399*Asset_Coupon</f>
        <v>3200000</v>
      </c>
      <c r="L399">
        <v>20000000</v>
      </c>
      <c r="M399">
        <f>AVERAGE('CIR Scenarios'!AX16:'CIR Scenarios'!AX27)</f>
        <v>6.4082836724100894E-2</v>
      </c>
      <c r="N399">
        <f>IF(U398&gt;0,U398*M399,0)</f>
        <v>1310494.0110078633</v>
      </c>
      <c r="O399">
        <f>K399+L399+N399</f>
        <v>24510494.011007864</v>
      </c>
      <c r="P399">
        <f>FABN_Face*FABN_Rate</f>
        <v>3500000.0000000005</v>
      </c>
      <c r="Q399">
        <v>0</v>
      </c>
      <c r="R399">
        <f>Expenses</f>
        <v>50000</v>
      </c>
      <c r="S399">
        <f>P399+Q399+R399</f>
        <v>3550000.0000000005</v>
      </c>
      <c r="T399">
        <f>O399-S399</f>
        <v>20960494.011007864</v>
      </c>
      <c r="U399">
        <f>U398+T399</f>
        <v>41410494.01100786</v>
      </c>
      <c r="V399">
        <f>MAX(0,-U399)</f>
        <v>0</v>
      </c>
      <c r="W399" cm="1">
        <f t="array" ref="W399">W398*PRODUCT(1/(1+'CIR Scenarios'!AX16:'CIR Scenarios'!AX27/12))</f>
        <v>0.89650627238733926</v>
      </c>
      <c r="X399">
        <f>V399*W399</f>
        <v>0</v>
      </c>
    </row>
    <row r="400" spans="9:24" x14ac:dyDescent="0.2">
      <c r="I400">
        <v>3</v>
      </c>
      <c r="J400">
        <v>60000000</v>
      </c>
      <c r="K400">
        <f>J400*Asset_Coupon</f>
        <v>2400000</v>
      </c>
      <c r="L400">
        <v>20000000</v>
      </c>
      <c r="M400">
        <f>AVERAGE('CIR Scenarios'!AX28:'CIR Scenarios'!AX39)</f>
        <v>6.5318218829290481E-2</v>
      </c>
      <c r="N400">
        <f>IF(U399&gt;0,U399*M400,0)</f>
        <v>2704859.7096400345</v>
      </c>
      <c r="O400">
        <f>K400+L400+N400</f>
        <v>25104859.709640034</v>
      </c>
      <c r="P400">
        <f>FABN_Face*FABN_Rate</f>
        <v>3500000.0000000005</v>
      </c>
      <c r="Q400">
        <v>0</v>
      </c>
      <c r="R400">
        <f>Expenses</f>
        <v>50000</v>
      </c>
      <c r="S400">
        <f>P400+Q400+R400</f>
        <v>3550000.0000000005</v>
      </c>
      <c r="T400">
        <f>O400-S400</f>
        <v>21554859.709640034</v>
      </c>
      <c r="U400">
        <f>U399+T400</f>
        <v>62965353.720647894</v>
      </c>
      <c r="V400">
        <f>MAX(0,-U400)</f>
        <v>0</v>
      </c>
      <c r="W400" cm="1">
        <f t="array" ref="W400">W399*PRODUCT(1/(1+'CIR Scenarios'!AX28:'CIR Scenarios'!AX39/12))</f>
        <v>0.83996932878866526</v>
      </c>
      <c r="X400">
        <f>V400*W400</f>
        <v>0</v>
      </c>
    </row>
    <row r="401" spans="9:24" x14ac:dyDescent="0.2">
      <c r="I401">
        <v>4</v>
      </c>
      <c r="J401">
        <v>40000000</v>
      </c>
      <c r="K401">
        <f>J401*Asset_Coupon</f>
        <v>1600000</v>
      </c>
      <c r="L401">
        <v>20000000</v>
      </c>
      <c r="M401">
        <f>AVERAGE('CIR Scenarios'!AX40:'CIR Scenarios'!AX51)</f>
        <v>5.6663429351011457E-2</v>
      </c>
      <c r="N401">
        <f>IF(U400&gt;0,U400*M401,0)</f>
        <v>3567832.8721113782</v>
      </c>
      <c r="O401">
        <f>K401+L401+N401</f>
        <v>25167832.87211138</v>
      </c>
      <c r="P401">
        <f>FABN_Face*FABN_Rate</f>
        <v>3500000.0000000005</v>
      </c>
      <c r="Q401">
        <v>0</v>
      </c>
      <c r="R401">
        <f>Expenses</f>
        <v>50000</v>
      </c>
      <c r="S401">
        <f>P401+Q401+R401</f>
        <v>3550000.0000000005</v>
      </c>
      <c r="T401">
        <f>O401-S401</f>
        <v>21617832.87211138</v>
      </c>
      <c r="U401">
        <f>U400+T401</f>
        <v>84583186.592759281</v>
      </c>
      <c r="V401">
        <f>MAX(0,-U401)</f>
        <v>0</v>
      </c>
      <c r="W401" cm="1">
        <f t="array" ref="W401">W400*PRODUCT(1/(1+'CIR Scenarios'!AX40:'CIR Scenarios'!AX51/12))</f>
        <v>0.79380373166775298</v>
      </c>
      <c r="X401">
        <f>V401*W401</f>
        <v>0</v>
      </c>
    </row>
    <row r="402" spans="9:24" x14ac:dyDescent="0.2">
      <c r="I402">
        <v>5</v>
      </c>
      <c r="J402">
        <v>20000000</v>
      </c>
      <c r="K402">
        <f>J402*Asset_Coupon</f>
        <v>800000</v>
      </c>
      <c r="L402">
        <v>20000000</v>
      </c>
      <c r="M402">
        <f>AVERAGE('CIR Scenarios'!AX52:'CIR Scenarios'!AX63)</f>
        <v>6.2694043700459876E-2</v>
      </c>
      <c r="N402">
        <f>IF(U401&gt;0,U401*M402,0)</f>
        <v>5302861.9965706021</v>
      </c>
      <c r="O402">
        <f>K402+L402+N402</f>
        <v>26102861.996570602</v>
      </c>
      <c r="P402">
        <f>FABN_Face*FABN_Rate</f>
        <v>3500000.0000000005</v>
      </c>
      <c r="Q402">
        <v>100000000</v>
      </c>
      <c r="R402">
        <f>Expenses</f>
        <v>50000</v>
      </c>
      <c r="S402">
        <f>P402+Q402+R402</f>
        <v>103550000</v>
      </c>
      <c r="T402">
        <f>O402-S402</f>
        <v>-77447138.003429398</v>
      </c>
      <c r="U402">
        <f>U401+T402</f>
        <v>7136048.5893298835</v>
      </c>
      <c r="V402">
        <f>MAX(0,-U402)</f>
        <v>0</v>
      </c>
      <c r="W402" cm="1">
        <f t="array" ref="W402">W401*PRODUCT(1/(1+'CIR Scenarios'!AX52:'CIR Scenarios'!AX63/12))</f>
        <v>0.74568693200435676</v>
      </c>
      <c r="X402">
        <f>V402*W402</f>
        <v>0</v>
      </c>
    </row>
    <row r="403" spans="9:24" x14ac:dyDescent="0.2">
      <c r="U403">
        <f>U402</f>
        <v>7136048.5893298835</v>
      </c>
      <c r="V403">
        <f>MAX(0,-U403)</f>
        <v>0</v>
      </c>
      <c r="W403">
        <f>MATCH(MAX(X398:X402),X398:X402,0)</f>
        <v>1</v>
      </c>
      <c r="X403">
        <f>MAX(X398:X402)</f>
        <v>0</v>
      </c>
    </row>
    <row r="405" spans="9:24" x14ac:dyDescent="0.2">
      <c r="I405">
        <v>1</v>
      </c>
      <c r="J405">
        <v>100000000</v>
      </c>
      <c r="K405">
        <f>J405*Asset_Coupon</f>
        <v>4000000</v>
      </c>
      <c r="L405">
        <v>20000000</v>
      </c>
      <c r="M405">
        <f>AVERAGE('CIR Scenarios'!AY4:'CIR Scenarios'!AY15)</f>
        <v>3.7378711430937912E-2</v>
      </c>
      <c r="N405">
        <v>0</v>
      </c>
      <c r="O405">
        <f>K405+L405+N405</f>
        <v>24000000</v>
      </c>
      <c r="P405">
        <f>FABN_Face*FABN_Rate</f>
        <v>3500000.0000000005</v>
      </c>
      <c r="Q405">
        <v>0</v>
      </c>
      <c r="R405">
        <f>Expenses</f>
        <v>50000</v>
      </c>
      <c r="S405">
        <f>P405+Q405+R405</f>
        <v>3550000.0000000005</v>
      </c>
      <c r="T405">
        <f>O405-S405</f>
        <v>20450000</v>
      </c>
      <c r="U405">
        <f>T405</f>
        <v>20450000</v>
      </c>
      <c r="V405">
        <f>MAX(0,-U405)</f>
        <v>0</v>
      </c>
      <c r="W405" cm="1">
        <f t="array" ref="W405">PRODUCT(1/(1+'CIR Scenarios'!AY4:'CIR Scenarios'!AY15/12))</f>
        <v>0.9633675705863225</v>
      </c>
      <c r="X405">
        <f>V405*W405</f>
        <v>0</v>
      </c>
    </row>
    <row r="406" spans="9:24" x14ac:dyDescent="0.2">
      <c r="I406">
        <v>2</v>
      </c>
      <c r="J406">
        <v>80000000</v>
      </c>
      <c r="K406">
        <f>J406*Asset_Coupon</f>
        <v>3200000</v>
      </c>
      <c r="L406">
        <v>20000000</v>
      </c>
      <c r="M406">
        <f>AVERAGE('CIR Scenarios'!AY16:'CIR Scenarios'!AY27)</f>
        <v>4.3958743435397483E-2</v>
      </c>
      <c r="N406">
        <f>IF(U405&gt;0,U405*M406,0)</f>
        <v>898956.30325387849</v>
      </c>
      <c r="O406">
        <f>K406+L406+N406</f>
        <v>24098956.303253878</v>
      </c>
      <c r="P406">
        <f>FABN_Face*FABN_Rate</f>
        <v>3500000.0000000005</v>
      </c>
      <c r="Q406">
        <v>0</v>
      </c>
      <c r="R406">
        <f>Expenses</f>
        <v>50000</v>
      </c>
      <c r="S406">
        <f>P406+Q406+R406</f>
        <v>3550000.0000000005</v>
      </c>
      <c r="T406">
        <f>O406-S406</f>
        <v>20548956.303253878</v>
      </c>
      <c r="U406">
        <f>U405+T406</f>
        <v>40998956.303253874</v>
      </c>
      <c r="V406">
        <f>MAX(0,-U406)</f>
        <v>0</v>
      </c>
      <c r="W406" cm="1">
        <f t="array" ref="W406">W405*PRODUCT(1/(1+'CIR Scenarios'!AY16:'CIR Scenarios'!AY27/12))</f>
        <v>0.92201068010497256</v>
      </c>
      <c r="X406">
        <f>V406*W406</f>
        <v>0</v>
      </c>
    </row>
    <row r="407" spans="9:24" x14ac:dyDescent="0.2">
      <c r="I407">
        <v>3</v>
      </c>
      <c r="J407">
        <v>60000000</v>
      </c>
      <c r="K407">
        <f>J407*Asset_Coupon</f>
        <v>2400000</v>
      </c>
      <c r="L407">
        <v>20000000</v>
      </c>
      <c r="M407">
        <f>AVERAGE('CIR Scenarios'!AY28:'CIR Scenarios'!AY39)</f>
        <v>4.5702694236090219E-2</v>
      </c>
      <c r="N407">
        <f>IF(U406&gt;0,U406*M407,0)</f>
        <v>1873762.7639264355</v>
      </c>
      <c r="O407">
        <f>K407+L407+N407</f>
        <v>24273762.763926435</v>
      </c>
      <c r="P407">
        <f>FABN_Face*FABN_Rate</f>
        <v>3500000.0000000005</v>
      </c>
      <c r="Q407">
        <v>0</v>
      </c>
      <c r="R407">
        <f>Expenses</f>
        <v>50000</v>
      </c>
      <c r="S407">
        <f>P407+Q407+R407</f>
        <v>3550000.0000000005</v>
      </c>
      <c r="T407">
        <f>O407-S407</f>
        <v>20723762.763926435</v>
      </c>
      <c r="U407">
        <f>U406+T407</f>
        <v>61722719.067180306</v>
      </c>
      <c r="V407">
        <f>MAX(0,-U407)</f>
        <v>0</v>
      </c>
      <c r="W407" cm="1">
        <f t="array" ref="W407">W406*PRODUCT(1/(1+'CIR Scenarios'!AY28:'CIR Scenarios'!AY39/12))</f>
        <v>0.88089769154847097</v>
      </c>
      <c r="X407">
        <f>V407*W407</f>
        <v>0</v>
      </c>
    </row>
    <row r="408" spans="9:24" x14ac:dyDescent="0.2">
      <c r="I408">
        <v>4</v>
      </c>
      <c r="J408">
        <v>40000000</v>
      </c>
      <c r="K408">
        <f>J408*Asset_Coupon</f>
        <v>1600000</v>
      </c>
      <c r="L408">
        <v>20000000</v>
      </c>
      <c r="M408">
        <f>AVERAGE('CIR Scenarios'!AY40:'CIR Scenarios'!AY51)</f>
        <v>3.3819298781062483E-2</v>
      </c>
      <c r="N408">
        <f>IF(U407&gt;0,U407*M408,0)</f>
        <v>2087419.0777125531</v>
      </c>
      <c r="O408">
        <f>K408+L408+N408</f>
        <v>23687419.077712554</v>
      </c>
      <c r="P408">
        <f>FABN_Face*FABN_Rate</f>
        <v>3500000.0000000005</v>
      </c>
      <c r="Q408">
        <v>0</v>
      </c>
      <c r="R408">
        <f>Expenses</f>
        <v>50000</v>
      </c>
      <c r="S408">
        <f>P408+Q408+R408</f>
        <v>3550000.0000000005</v>
      </c>
      <c r="T408">
        <f>O408-S408</f>
        <v>20137419.077712554</v>
      </c>
      <c r="U408">
        <f>U407+T408</f>
        <v>81860138.144892856</v>
      </c>
      <c r="V408">
        <f>MAX(0,-U408)</f>
        <v>0</v>
      </c>
      <c r="W408" cm="1">
        <f t="array" ref="W408">W407*PRODUCT(1/(1+'CIR Scenarios'!AY40:'CIR Scenarios'!AY51/12))</f>
        <v>0.85164536095953236</v>
      </c>
      <c r="X408">
        <f>V408*W408</f>
        <v>0</v>
      </c>
    </row>
    <row r="409" spans="9:24" x14ac:dyDescent="0.2">
      <c r="I409">
        <v>5</v>
      </c>
      <c r="J409">
        <v>20000000</v>
      </c>
      <c r="K409">
        <f>J409*Asset_Coupon</f>
        <v>800000</v>
      </c>
      <c r="L409">
        <v>20000000</v>
      </c>
      <c r="M409">
        <f>AVERAGE('CIR Scenarios'!AY52:'CIR Scenarios'!AY63)</f>
        <v>3.3198650522593631E-2</v>
      </c>
      <c r="N409">
        <f>IF(U408&gt;0,U408*M409,0)</f>
        <v>2717646.1180035342</v>
      </c>
      <c r="O409">
        <f>K409+L409+N409</f>
        <v>23517646.118003532</v>
      </c>
      <c r="P409">
        <f>FABN_Face*FABN_Rate</f>
        <v>3500000.0000000005</v>
      </c>
      <c r="Q409">
        <v>100000000</v>
      </c>
      <c r="R409">
        <f>Expenses</f>
        <v>50000</v>
      </c>
      <c r="S409">
        <f>P409+Q409+R409</f>
        <v>103550000</v>
      </c>
      <c r="T409">
        <f>O409-S409</f>
        <v>-80032353.881996468</v>
      </c>
      <c r="U409">
        <f>U408+T409</f>
        <v>1827784.2628963888</v>
      </c>
      <c r="V409">
        <f>MAX(0,-U409)</f>
        <v>0</v>
      </c>
      <c r="W409" cm="1">
        <f t="array" ref="W409">W408*PRODUCT(1/(1+'CIR Scenarios'!AY52:'CIR Scenarios'!AY63/12))</f>
        <v>0.82387405482184972</v>
      </c>
      <c r="X409">
        <f>V409*W409</f>
        <v>0</v>
      </c>
    </row>
    <row r="410" spans="9:24" x14ac:dyDescent="0.2">
      <c r="U410">
        <f>U409</f>
        <v>1827784.2628963888</v>
      </c>
      <c r="V410">
        <f>MAX(0,-U410)</f>
        <v>0</v>
      </c>
      <c r="W410">
        <f>MATCH(MAX(X405:X409),X405:X409,0)</f>
        <v>1</v>
      </c>
      <c r="X410">
        <f>MAX(X405:X409)</f>
        <v>0</v>
      </c>
    </row>
  </sheetData>
  <mergeCells count="2">
    <mergeCell ref="A1:F1"/>
    <mergeCell ref="A2:F2"/>
  </mergeCells>
  <conditionalFormatting sqref="B4:C53">
    <cfRule type="colorScale" priority="1">
      <colorScale>
        <cfvo type="min"/>
        <cfvo type="percentile" val="50"/>
        <cfvo type="max"/>
        <color rgb="FFFFFFFF"/>
        <color rgb="FFFFD966"/>
        <color rgb="FFFF0000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0CBA-29A2-EC4E-A25B-3B2E2C81B386}">
  <dimension ref="A1:F31"/>
  <sheetViews>
    <sheetView showGridLines="0" workbookViewId="0">
      <pane ySplit="1" topLeftCell="A2" activePane="bottomLeft" state="frozen"/>
      <selection pane="bottomLeft" activeCell="E6" sqref="E6"/>
    </sheetView>
  </sheetViews>
  <sheetFormatPr baseColWidth="10" defaultRowHeight="16" x14ac:dyDescent="0.2"/>
  <cols>
    <col min="1" max="1" width="36.6640625" customWidth="1"/>
    <col min="2" max="2" width="16.6640625" customWidth="1"/>
    <col min="3" max="3" width="18.33203125" customWidth="1"/>
    <col min="4" max="4" width="13.33203125" customWidth="1"/>
    <col min="5" max="5" width="18.33203125" customWidth="1"/>
    <col min="6" max="6" width="15" customWidth="1"/>
  </cols>
  <sheetData>
    <row r="1" spans="1:6" ht="19" x14ac:dyDescent="0.25">
      <c r="A1" s="2" t="s">
        <v>98</v>
      </c>
      <c r="B1" s="1"/>
      <c r="C1" s="1"/>
      <c r="D1" s="1"/>
      <c r="E1" s="1"/>
      <c r="F1" s="1"/>
    </row>
    <row r="2" spans="1:6" ht="40" customHeight="1" x14ac:dyDescent="0.2">
      <c r="A2" s="26" t="s">
        <v>99</v>
      </c>
      <c r="B2" s="1"/>
      <c r="C2" s="1"/>
      <c r="D2" s="1"/>
      <c r="E2" s="1"/>
      <c r="F2" s="1"/>
    </row>
    <row r="4" spans="1:6" x14ac:dyDescent="0.2">
      <c r="A4" s="18" t="s">
        <v>100</v>
      </c>
    </row>
    <row r="5" spans="1:6" x14ac:dyDescent="0.2">
      <c r="A5" s="7" t="s">
        <v>101</v>
      </c>
      <c r="B5" s="7" t="s">
        <v>92</v>
      </c>
      <c r="C5" s="7" t="s">
        <v>93</v>
      </c>
      <c r="D5" s="7" t="s">
        <v>102</v>
      </c>
      <c r="E5" s="7" t="s">
        <v>103</v>
      </c>
      <c r="F5" s="7" t="s">
        <v>104</v>
      </c>
    </row>
    <row r="6" spans="1:6" x14ac:dyDescent="0.2">
      <c r="A6" s="5">
        <v>1</v>
      </c>
      <c r="B6" s="5">
        <f>MATCH(LARGE('All Scenarios Summary'!C$4:C$53,A6),'All Scenarios Summary'!C$4:C$53,0)</f>
        <v>11</v>
      </c>
      <c r="C6" s="3">
        <f>LARGE('All Scenarios Summary'!C$4:C$53,A6)</f>
        <v>1586747.1001931063</v>
      </c>
      <c r="D6" s="32">
        <v>0.1</v>
      </c>
      <c r="E6" s="3">
        <f>C6*D6</f>
        <v>158674.71001931065</v>
      </c>
      <c r="F6" t="s">
        <v>105</v>
      </c>
    </row>
    <row r="7" spans="1:6" x14ac:dyDescent="0.2">
      <c r="A7" s="5">
        <v>2</v>
      </c>
      <c r="B7" s="5">
        <f>MATCH(LARGE('All Scenarios Summary'!C$4:C$53,A7),'All Scenarios Summary'!C$4:C$53,0)</f>
        <v>2</v>
      </c>
      <c r="C7" s="3">
        <f>LARGE('All Scenarios Summary'!C$4:C$53,A7)</f>
        <v>1466970.7590339156</v>
      </c>
      <c r="D7" s="32">
        <v>0.1</v>
      </c>
      <c r="E7" s="3">
        <f>C7*D7</f>
        <v>146697.07590339155</v>
      </c>
      <c r="F7" t="s">
        <v>106</v>
      </c>
    </row>
    <row r="8" spans="1:6" x14ac:dyDescent="0.2">
      <c r="A8" s="5">
        <v>3</v>
      </c>
      <c r="B8" s="5">
        <f>MATCH(LARGE('All Scenarios Summary'!C$4:C$53,A8),'All Scenarios Summary'!C$4:C$53,0)</f>
        <v>36</v>
      </c>
      <c r="C8" s="3">
        <f>LARGE('All Scenarios Summary'!C$4:C$53,A8)</f>
        <v>1119377.3460511758</v>
      </c>
      <c r="D8" s="32">
        <v>0.1</v>
      </c>
      <c r="E8" s="3">
        <f>C8*D8</f>
        <v>111937.73460511758</v>
      </c>
      <c r="F8" t="s">
        <v>107</v>
      </c>
    </row>
    <row r="9" spans="1:6" x14ac:dyDescent="0.2">
      <c r="A9" s="5">
        <v>4</v>
      </c>
      <c r="B9" s="5">
        <f>MATCH(LARGE('All Scenarios Summary'!C$4:C$53,A9),'All Scenarios Summary'!C$4:C$53,0)</f>
        <v>31</v>
      </c>
      <c r="C9" s="3">
        <f>LARGE('All Scenarios Summary'!C$4:C$53,A9)</f>
        <v>993567.81818269251</v>
      </c>
      <c r="D9" s="32">
        <v>0.4</v>
      </c>
      <c r="E9" s="3">
        <f>C9*D9</f>
        <v>397427.12727307703</v>
      </c>
      <c r="F9" t="s">
        <v>108</v>
      </c>
    </row>
    <row r="10" spans="1:6" x14ac:dyDescent="0.2">
      <c r="A10" s="5">
        <v>5</v>
      </c>
      <c r="B10" s="5">
        <f>MATCH(LARGE('All Scenarios Summary'!C$4:C$53,A10),'All Scenarios Summary'!C$4:C$53,0)</f>
        <v>7</v>
      </c>
      <c r="C10" s="3">
        <f>LARGE('All Scenarios Summary'!C$4:C$53,A10)</f>
        <v>983852.80835153966</v>
      </c>
      <c r="D10" s="32">
        <v>0.1</v>
      </c>
      <c r="E10" s="3">
        <f>C10*D10</f>
        <v>98385.280835153972</v>
      </c>
      <c r="F10" t="s">
        <v>109</v>
      </c>
    </row>
    <row r="11" spans="1:6" x14ac:dyDescent="0.2">
      <c r="A11" s="5">
        <v>6</v>
      </c>
      <c r="B11" s="5">
        <f>MATCH(LARGE('All Scenarios Summary'!C$4:C$53,A11),'All Scenarios Summary'!C$4:C$53,0)</f>
        <v>24</v>
      </c>
      <c r="C11" s="3">
        <f>LARGE('All Scenarios Summary'!C$4:C$53,A11)</f>
        <v>885130.35211587057</v>
      </c>
      <c r="D11" s="32">
        <v>0.1</v>
      </c>
      <c r="E11" s="3">
        <f>C11*D11</f>
        <v>88513.035211587063</v>
      </c>
      <c r="F11" t="s">
        <v>110</v>
      </c>
    </row>
    <row r="12" spans="1:6" x14ac:dyDescent="0.2">
      <c r="A12" s="5">
        <v>7</v>
      </c>
      <c r="B12" s="5">
        <f>MATCH(LARGE('All Scenarios Summary'!C$4:C$53,A12),'All Scenarios Summary'!C$4:C$53,0)</f>
        <v>47</v>
      </c>
      <c r="C12" s="3">
        <f>LARGE('All Scenarios Summary'!C$4:C$53,A12)</f>
        <v>811729.82650357089</v>
      </c>
      <c r="D12" s="32">
        <v>0.1</v>
      </c>
      <c r="E12" s="3">
        <f>C12*D12</f>
        <v>81172.982650357095</v>
      </c>
      <c r="F12" t="s">
        <v>111</v>
      </c>
    </row>
    <row r="13" spans="1:6" x14ac:dyDescent="0.2">
      <c r="A13" s="18" t="s">
        <v>112</v>
      </c>
      <c r="B13" s="19"/>
      <c r="C13" s="31"/>
      <c r="D13" s="19"/>
      <c r="E13" s="33">
        <f>SUM(E6:E12)</f>
        <v>1082807.9464979949</v>
      </c>
      <c r="F13" s="19"/>
    </row>
    <row r="15" spans="1:6" x14ac:dyDescent="0.2">
      <c r="A15" s="18" t="s">
        <v>113</v>
      </c>
    </row>
    <row r="16" spans="1:6" x14ac:dyDescent="0.2">
      <c r="A16" t="s">
        <v>114</v>
      </c>
      <c r="B16" s="34">
        <f>Tax_Rate</f>
        <v>0.21</v>
      </c>
    </row>
    <row r="17" spans="1:6" x14ac:dyDescent="0.2">
      <c r="A17" s="18" t="s">
        <v>115</v>
      </c>
      <c r="B17" s="3">
        <f>E13</f>
        <v>1082807.9464979949</v>
      </c>
    </row>
    <row r="18" spans="1:6" x14ac:dyDescent="0.2">
      <c r="A18" s="6" t="s">
        <v>116</v>
      </c>
      <c r="B18" s="33">
        <f>B17*(1-B16)</f>
        <v>855418.27773341606</v>
      </c>
    </row>
    <row r="20" spans="1:6" x14ac:dyDescent="0.2">
      <c r="A20" s="17" t="s">
        <v>117</v>
      </c>
    </row>
    <row r="21" spans="1:6" x14ac:dyDescent="0.2">
      <c r="A21" t="s">
        <v>118</v>
      </c>
      <c r="B21" s="34">
        <v>7.4999999999999997E-3</v>
      </c>
    </row>
    <row r="22" spans="1:6" x14ac:dyDescent="0.2">
      <c r="A22" t="s">
        <v>119</v>
      </c>
      <c r="B22" s="3">
        <f>FABN_Face*B21</f>
        <v>750000</v>
      </c>
    </row>
    <row r="23" spans="1:6" x14ac:dyDescent="0.2">
      <c r="A23" t="s">
        <v>120</v>
      </c>
      <c r="B23" s="3">
        <f>B18</f>
        <v>855418.27773341606</v>
      </c>
    </row>
    <row r="24" spans="1:6" x14ac:dyDescent="0.2">
      <c r="A24" t="s">
        <v>121</v>
      </c>
      <c r="B24" s="35">
        <f>B23-B22</f>
        <v>105418.27773341606</v>
      </c>
    </row>
    <row r="26" spans="1:6" x14ac:dyDescent="0.2">
      <c r="A26" s="27" t="s">
        <v>122</v>
      </c>
      <c r="B26" s="28"/>
      <c r="C26" s="28"/>
      <c r="D26" s="28"/>
      <c r="E26" s="28"/>
      <c r="F26" s="28"/>
    </row>
    <row r="27" spans="1:6" ht="60" customHeight="1" x14ac:dyDescent="0.2">
      <c r="A27" s="29" t="s">
        <v>123</v>
      </c>
      <c r="B27" s="30"/>
      <c r="C27" s="30"/>
      <c r="D27" s="30"/>
      <c r="E27" s="30"/>
      <c r="F27" s="30"/>
    </row>
    <row r="28" spans="1:6" ht="60" customHeight="1" x14ac:dyDescent="0.2">
      <c r="A28" s="30"/>
      <c r="B28" s="30"/>
      <c r="C28" s="30"/>
      <c r="D28" s="30"/>
      <c r="E28" s="30"/>
      <c r="F28" s="30"/>
    </row>
    <row r="29" spans="1:6" ht="60" customHeight="1" x14ac:dyDescent="0.2">
      <c r="A29" s="30"/>
      <c r="B29" s="30"/>
      <c r="C29" s="30"/>
      <c r="D29" s="30"/>
      <c r="E29" s="30"/>
      <c r="F29" s="30"/>
    </row>
    <row r="31" spans="1:6" x14ac:dyDescent="0.2">
      <c r="A31" s="46" t="s">
        <v>155</v>
      </c>
    </row>
  </sheetData>
  <mergeCells count="3">
    <mergeCell ref="A1:F1"/>
    <mergeCell ref="A2:F2"/>
    <mergeCell ref="A27:F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B99C-19B2-3740-A819-925FEBEA960B}">
  <dimension ref="A1:D44"/>
  <sheetViews>
    <sheetView showGridLines="0" workbookViewId="0">
      <pane ySplit="1" topLeftCell="A2" activePane="bottomLeft" state="frozen"/>
      <selection pane="bottomLeft" sqref="A1:D1"/>
    </sheetView>
  </sheetViews>
  <sheetFormatPr baseColWidth="10" defaultRowHeight="16" x14ac:dyDescent="0.2"/>
  <cols>
    <col min="1" max="1" width="38.33203125" customWidth="1"/>
    <col min="2" max="2" width="26.6640625" customWidth="1"/>
    <col min="3" max="3" width="30" customWidth="1"/>
  </cols>
  <sheetData>
    <row r="1" spans="1:4" ht="19" x14ac:dyDescent="0.25">
      <c r="A1" s="2" t="s">
        <v>124</v>
      </c>
      <c r="B1" s="1"/>
      <c r="C1" s="1"/>
      <c r="D1" s="1"/>
    </row>
    <row r="2" spans="1:4" ht="50" customHeight="1" x14ac:dyDescent="0.2">
      <c r="A2" s="26" t="s">
        <v>125</v>
      </c>
      <c r="B2" s="1"/>
      <c r="C2" s="1"/>
      <c r="D2" s="1"/>
    </row>
    <row r="4" spans="1:4" x14ac:dyDescent="0.2">
      <c r="A4" s="36" t="s">
        <v>126</v>
      </c>
    </row>
    <row r="5" spans="1:4" x14ac:dyDescent="0.2">
      <c r="A5" s="37" t="s">
        <v>127</v>
      </c>
    </row>
    <row r="6" spans="1:4" x14ac:dyDescent="0.2">
      <c r="A6" s="17" t="s">
        <v>2</v>
      </c>
      <c r="B6" s="17" t="s">
        <v>128</v>
      </c>
      <c r="C6" s="17" t="s">
        <v>129</v>
      </c>
    </row>
    <row r="7" spans="1:4" x14ac:dyDescent="0.2">
      <c r="A7" s="34">
        <v>2.5000000000000001E-2</v>
      </c>
      <c r="B7" s="34">
        <v>1.4999999999999999E-2</v>
      </c>
      <c r="C7" t="s">
        <v>130</v>
      </c>
    </row>
    <row r="8" spans="1:4" x14ac:dyDescent="0.2">
      <c r="A8" s="34">
        <v>0.03</v>
      </c>
      <c r="B8" s="34">
        <v>1.0000000000000002E-2</v>
      </c>
      <c r="C8" t="s">
        <v>130</v>
      </c>
    </row>
    <row r="9" spans="1:4" x14ac:dyDescent="0.2">
      <c r="A9" s="38">
        <v>3.5000000000000003E-2</v>
      </c>
      <c r="B9" s="38">
        <v>4.9999999999999975E-3</v>
      </c>
      <c r="C9" s="39" t="s">
        <v>131</v>
      </c>
    </row>
    <row r="10" spans="1:4" x14ac:dyDescent="0.2">
      <c r="A10" s="34">
        <v>0.04</v>
      </c>
      <c r="B10" s="34">
        <v>0</v>
      </c>
      <c r="C10" t="s">
        <v>132</v>
      </c>
    </row>
    <row r="11" spans="1:4" x14ac:dyDescent="0.2">
      <c r="A11" s="34">
        <v>4.4999999999999998E-2</v>
      </c>
      <c r="B11" s="34">
        <v>-4.9999999999999975E-3</v>
      </c>
      <c r="C11" t="s">
        <v>132</v>
      </c>
    </row>
    <row r="12" spans="1:4" x14ac:dyDescent="0.2">
      <c r="A12" s="34">
        <v>0.05</v>
      </c>
      <c r="B12" s="34">
        <v>-1.0000000000000002E-2</v>
      </c>
      <c r="C12" t="s">
        <v>132</v>
      </c>
    </row>
    <row r="14" spans="1:4" x14ac:dyDescent="0.2">
      <c r="A14" s="40" t="s">
        <v>133</v>
      </c>
    </row>
    <row r="15" spans="1:4" x14ac:dyDescent="0.2">
      <c r="A15" s="37" t="s">
        <v>134</v>
      </c>
    </row>
    <row r="16" spans="1:4" x14ac:dyDescent="0.2">
      <c r="A16" s="17" t="s">
        <v>4</v>
      </c>
      <c r="B16" s="17" t="s">
        <v>135</v>
      </c>
      <c r="C16" s="17" t="s">
        <v>129</v>
      </c>
    </row>
    <row r="17" spans="1:3" x14ac:dyDescent="0.2">
      <c r="A17" s="34">
        <v>0.03</v>
      </c>
      <c r="B17" s="3">
        <v>3000000</v>
      </c>
      <c r="C17" t="s">
        <v>132</v>
      </c>
    </row>
    <row r="18" spans="1:3" x14ac:dyDescent="0.2">
      <c r="A18" s="34">
        <v>3.5000000000000003E-2</v>
      </c>
      <c r="B18" s="3">
        <v>3500000.0000000005</v>
      </c>
      <c r="C18" t="s">
        <v>132</v>
      </c>
    </row>
    <row r="19" spans="1:3" x14ac:dyDescent="0.2">
      <c r="A19" s="38">
        <v>0.04</v>
      </c>
      <c r="B19" s="41">
        <v>4000000</v>
      </c>
      <c r="C19" s="39" t="s">
        <v>131</v>
      </c>
    </row>
    <row r="20" spans="1:3" x14ac:dyDescent="0.2">
      <c r="A20" s="34">
        <v>4.4999999999999998E-2</v>
      </c>
      <c r="B20" s="3">
        <v>4500000</v>
      </c>
      <c r="C20" t="s">
        <v>130</v>
      </c>
    </row>
    <row r="21" spans="1:3" x14ac:dyDescent="0.2">
      <c r="A21" s="34">
        <v>0.05</v>
      </c>
      <c r="B21" s="3">
        <v>5000000</v>
      </c>
      <c r="C21" t="s">
        <v>130</v>
      </c>
    </row>
    <row r="22" spans="1:3" x14ac:dyDescent="0.2">
      <c r="A22" s="34">
        <v>5.5E-2</v>
      </c>
      <c r="B22" s="3">
        <v>5500000</v>
      </c>
      <c r="C22" t="s">
        <v>130</v>
      </c>
    </row>
    <row r="24" spans="1:3" x14ac:dyDescent="0.2">
      <c r="A24" s="42" t="s">
        <v>136</v>
      </c>
    </row>
    <row r="25" spans="1:3" x14ac:dyDescent="0.2">
      <c r="A25" s="37" t="s">
        <v>137</v>
      </c>
    </row>
    <row r="26" spans="1:3" x14ac:dyDescent="0.2">
      <c r="A26" s="17" t="s">
        <v>3</v>
      </c>
      <c r="B26" s="17" t="s">
        <v>138</v>
      </c>
      <c r="C26" s="17" t="s">
        <v>139</v>
      </c>
    </row>
    <row r="27" spans="1:3" x14ac:dyDescent="0.2">
      <c r="A27">
        <v>3</v>
      </c>
      <c r="B27" t="s">
        <v>140</v>
      </c>
      <c r="C27" t="s">
        <v>141</v>
      </c>
    </row>
    <row r="28" spans="1:3" x14ac:dyDescent="0.2">
      <c r="A28" s="39">
        <v>5</v>
      </c>
      <c r="B28" s="39" t="s">
        <v>142</v>
      </c>
      <c r="C28" s="39" t="s">
        <v>131</v>
      </c>
    </row>
    <row r="29" spans="1:3" x14ac:dyDescent="0.2">
      <c r="A29">
        <v>7</v>
      </c>
      <c r="B29" t="s">
        <v>143</v>
      </c>
      <c r="C29" t="s">
        <v>144</v>
      </c>
    </row>
    <row r="30" spans="1:3" x14ac:dyDescent="0.2">
      <c r="A30">
        <v>10</v>
      </c>
      <c r="B30" t="s">
        <v>145</v>
      </c>
      <c r="C30" t="s">
        <v>146</v>
      </c>
    </row>
    <row r="32" spans="1:3" x14ac:dyDescent="0.2">
      <c r="A32" s="20" t="s">
        <v>147</v>
      </c>
    </row>
    <row r="33" spans="1:3" x14ac:dyDescent="0.2">
      <c r="A33" s="37" t="s">
        <v>148</v>
      </c>
    </row>
    <row r="34" spans="1:3" x14ac:dyDescent="0.2">
      <c r="A34" s="17" t="s">
        <v>149</v>
      </c>
      <c r="B34" s="17" t="s">
        <v>150</v>
      </c>
      <c r="C34" s="17" t="s">
        <v>129</v>
      </c>
    </row>
    <row r="35" spans="1:3" x14ac:dyDescent="0.2">
      <c r="A35" s="34">
        <v>0.02</v>
      </c>
      <c r="B35" s="4">
        <v>1.3856406460551017E-2</v>
      </c>
      <c r="C35" t="s">
        <v>130</v>
      </c>
    </row>
    <row r="36" spans="1:3" x14ac:dyDescent="0.2">
      <c r="A36" s="34">
        <v>0.04</v>
      </c>
      <c r="B36" s="4">
        <v>2.7712812921102035E-2</v>
      </c>
      <c r="C36" t="s">
        <v>130</v>
      </c>
    </row>
    <row r="37" spans="1:3" x14ac:dyDescent="0.2">
      <c r="A37" s="38">
        <v>0.06</v>
      </c>
      <c r="B37" s="43">
        <v>4.1569219381653054E-2</v>
      </c>
      <c r="C37" s="39" t="s">
        <v>131</v>
      </c>
    </row>
    <row r="38" spans="1:3" x14ac:dyDescent="0.2">
      <c r="A38" s="34">
        <v>0.08</v>
      </c>
      <c r="B38" s="4">
        <v>5.542562584220407E-2</v>
      </c>
      <c r="C38" t="s">
        <v>132</v>
      </c>
    </row>
    <row r="39" spans="1:3" x14ac:dyDescent="0.2">
      <c r="A39" s="34">
        <v>0.1</v>
      </c>
      <c r="B39" s="4">
        <v>6.9282032302755106E-2</v>
      </c>
      <c r="C39" t="s">
        <v>132</v>
      </c>
    </row>
    <row r="41" spans="1:3" x14ac:dyDescent="0.2">
      <c r="A41" s="20" t="s">
        <v>151</v>
      </c>
    </row>
    <row r="42" spans="1:3" x14ac:dyDescent="0.2">
      <c r="A42" s="28" t="s">
        <v>152</v>
      </c>
      <c r="B42" s="45">
        <f>'C3 Calculation'!B18</f>
        <v>855418.27773341606</v>
      </c>
    </row>
    <row r="43" spans="1:3" x14ac:dyDescent="0.2">
      <c r="A43" s="28" t="s">
        <v>119</v>
      </c>
      <c r="B43" s="44">
        <f>'C3 Calculation'!B22</f>
        <v>750000</v>
      </c>
    </row>
    <row r="44" spans="1:3" x14ac:dyDescent="0.2">
      <c r="A44" s="28" t="s">
        <v>153</v>
      </c>
      <c r="B44" s="44">
        <f>'C3 Calculation'!B24</f>
        <v>105418.27773341606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Assumptions</vt:lpstr>
      <vt:lpstr>CIR Scenarios</vt:lpstr>
      <vt:lpstr>Cash Flows - Scenario 1</vt:lpstr>
      <vt:lpstr>PVAD - Scenario 1</vt:lpstr>
      <vt:lpstr>All Scenarios Summary</vt:lpstr>
      <vt:lpstr>C3 Calculation</vt:lpstr>
      <vt:lpstr>Sensitivity Analysis</vt:lpstr>
      <vt:lpstr>Annual_Maturity</vt:lpstr>
      <vt:lpstr>Asset_Coupon</vt:lpstr>
      <vt:lpstr>Asset_Par</vt:lpstr>
      <vt:lpstr>CIR_kappa</vt:lpstr>
      <vt:lpstr>CIR_sigma</vt:lpstr>
      <vt:lpstr>CIR_theta</vt:lpstr>
      <vt:lpstr>Expenses</vt:lpstr>
      <vt:lpstr>FABN_Face</vt:lpstr>
      <vt:lpstr>FABN_Maturity</vt:lpstr>
      <vt:lpstr>FABN_Rate</vt:lpstr>
      <vt:lpstr>Initial_Rate</vt:lpstr>
      <vt:lpstr>Months</vt:lpstr>
      <vt:lpstr>Num_Scenarios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Éloi Bernier</dc:creator>
  <cp:lastModifiedBy>Éloi Bernier</cp:lastModifiedBy>
  <dcterms:created xsi:type="dcterms:W3CDTF">2026-04-05T01:33:19Z</dcterms:created>
  <dcterms:modified xsi:type="dcterms:W3CDTF">2026-04-05T05:22:08Z</dcterms:modified>
</cp:coreProperties>
</file>