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d9cc36b2e7032bd/Desktop/MSADS/Courses/3. Spring 2026/Capstone I/Project/Optimization/"/>
    </mc:Choice>
  </mc:AlternateContent>
  <xr:revisionPtr revIDLastSave="1367" documentId="8_{C82246A1-65D9-4FF7-94F9-88206ABA1370}" xr6:coauthVersionLast="47" xr6:coauthVersionMax="47" xr10:uidLastSave="{82308627-4704-4E58-B81B-6FBE58BFADE7}"/>
  <bookViews>
    <workbookView xWindow="-110" yWindow="-110" windowWidth="25820" windowHeight="15500" activeTab="3" xr2:uid="{503CB389-4A76-4C15-8272-0F438C192495}"/>
  </bookViews>
  <sheets>
    <sheet name="Instructions" sheetId="2" r:id="rId1"/>
    <sheet name="Parameters" sheetId="3" r:id="rId2"/>
    <sheet name="Bonds" sheetId="4" r:id="rId3"/>
    <sheet name="Optimizer" sheetId="5" r:id="rId4"/>
  </sheets>
  <definedNames>
    <definedName name="B_RBC">Parameters!$B$6</definedName>
    <definedName name="Beta">Parameters!$B$4</definedName>
    <definedName name="Bond_BA">Bonds!$G$4:$G$13</definedName>
    <definedName name="Bond_C1">Bonds!$H$4:$H$13</definedName>
    <definedName name="Bond_Duration">Bonds!$I$4:$I$13</definedName>
    <definedName name="Bond_GSpread">Bonds!$E$4:$E$13</definedName>
    <definedName name="Bond_Rating">Bonds!$D$4:$D$13</definedName>
    <definedName name="Bond_Sector">Bonds!$C$4:$C$13</definedName>
    <definedName name="Bond_Vol">Bonds!$F$4:$F$13</definedName>
    <definedName name="Con_BBB">Optimizer!$C$26</definedName>
    <definedName name="Con_Budget">Optimizer!$C$22</definedName>
    <definedName name="Con_C1_Capital">Optimizer!$C$23</definedName>
    <definedName name="Con_DurHi">Optimizer!$C$24</definedName>
    <definedName name="Con_DurLo">Optimizer!$C$25</definedName>
    <definedName name="Con_SectorFin">Optimizer!$C$27</definedName>
    <definedName name="Con_SectorInd">Optimizer!$C$28</definedName>
    <definedName name="D_L">Parameters!$B$7</definedName>
    <definedName name="Epsilon">Parameters!$B$8</definedName>
    <definedName name="Gamma">Parameters!$B$5</definedName>
    <definedName name="Objective">Optimizer!$J$18</definedName>
    <definedName name="q_BBB">Parameters!$B$9</definedName>
    <definedName name="solver_adj" localSheetId="3" hidden="1">Optimizer!$I$6:$I$15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Optimizer!$C$26</definedName>
    <definedName name="solver_lhs2" localSheetId="3" hidden="1">Optimizer!$C$22</definedName>
    <definedName name="solver_lhs3" localSheetId="3" hidden="1">Optimizer!$C$23</definedName>
    <definedName name="solver_lhs4" localSheetId="3" hidden="1">Optimizer!$C$24</definedName>
    <definedName name="solver_lhs5" localSheetId="3" hidden="1">Optimizer!$C$25</definedName>
    <definedName name="solver_lhs6" localSheetId="3" hidden="1">Optimizer!$C$27</definedName>
    <definedName name="solver_lhs7" localSheetId="3" hidden="1">Optimizer!$C$28</definedName>
    <definedName name="solver_lhs8" localSheetId="3" hidden="1">Optimizer!$I$6:$I$15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8</definedName>
    <definedName name="solver_nwt" localSheetId="3" hidden="1">1</definedName>
    <definedName name="solver_opt" localSheetId="3" hidden="1">Optimizer!$J$18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2</definedName>
    <definedName name="solver_rel3" localSheetId="3" hidden="1">1</definedName>
    <definedName name="solver_rel4" localSheetId="3" hidden="1">1</definedName>
    <definedName name="solver_rel5" localSheetId="3" hidden="1">3</definedName>
    <definedName name="solver_rel6" localSheetId="3" hidden="1">1</definedName>
    <definedName name="solver_rel7" localSheetId="3" hidden="1">1</definedName>
    <definedName name="solver_rel8" localSheetId="3" hidden="1">3</definedName>
    <definedName name="solver_rhs1" localSheetId="3" hidden="1">Optimizer!$E$26</definedName>
    <definedName name="solver_rhs2" localSheetId="3" hidden="1">1</definedName>
    <definedName name="solver_rhs3" localSheetId="3" hidden="1">Optimizer!$E$23</definedName>
    <definedName name="solver_rhs4" localSheetId="3" hidden="1">Optimizer!$E$24</definedName>
    <definedName name="solver_rhs5" localSheetId="3" hidden="1">Optimizer!$E$25</definedName>
    <definedName name="solver_rhs6" localSheetId="3" hidden="1">Optimizer!$E$27</definedName>
    <definedName name="solver_rhs7" localSheetId="3" hidden="1">Optimizer!$E$28</definedName>
    <definedName name="solver_rhs8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u_Fin">Parameters!$B$10</definedName>
    <definedName name="u_Ind">Parameters!$B$11</definedName>
    <definedName name="Weights">Optimizer!$I$6:$I$15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5" l="1"/>
  <c r="B34" i="5"/>
  <c r="B33" i="5"/>
  <c r="B32" i="5"/>
  <c r="E28" i="5"/>
  <c r="C28" i="5"/>
  <c r="E27" i="5"/>
  <c r="C27" i="5"/>
  <c r="B36" i="5" s="1"/>
  <c r="E26" i="5"/>
  <c r="C26" i="5"/>
  <c r="B35" i="5" s="1"/>
  <c r="E25" i="5"/>
  <c r="E24" i="5"/>
  <c r="E23" i="5"/>
  <c r="C22" i="5"/>
  <c r="M15" i="5"/>
  <c r="L15" i="5"/>
  <c r="J15" i="5"/>
  <c r="K15" i="5" s="1"/>
  <c r="H15" i="5"/>
  <c r="G15" i="5"/>
  <c r="F15" i="5"/>
  <c r="E15" i="5"/>
  <c r="D15" i="5"/>
  <c r="C15" i="5"/>
  <c r="B15" i="5"/>
  <c r="A15" i="5"/>
  <c r="M14" i="5"/>
  <c r="L14" i="5"/>
  <c r="J14" i="5"/>
  <c r="K14" i="5" s="1"/>
  <c r="H14" i="5"/>
  <c r="G14" i="5"/>
  <c r="F14" i="5"/>
  <c r="E14" i="5"/>
  <c r="D14" i="5"/>
  <c r="C14" i="5"/>
  <c r="B14" i="5"/>
  <c r="A14" i="5"/>
  <c r="M13" i="5"/>
  <c r="L13" i="5"/>
  <c r="J13" i="5"/>
  <c r="K13" i="5" s="1"/>
  <c r="H13" i="5"/>
  <c r="G13" i="5"/>
  <c r="F13" i="5"/>
  <c r="E13" i="5"/>
  <c r="D13" i="5"/>
  <c r="C13" i="5"/>
  <c r="B13" i="5"/>
  <c r="A13" i="5"/>
  <c r="M12" i="5"/>
  <c r="L12" i="5"/>
  <c r="J12" i="5"/>
  <c r="K12" i="5" s="1"/>
  <c r="H12" i="5"/>
  <c r="G12" i="5"/>
  <c r="F12" i="5"/>
  <c r="E12" i="5"/>
  <c r="D12" i="5"/>
  <c r="C12" i="5"/>
  <c r="B12" i="5"/>
  <c r="A12" i="5"/>
  <c r="M11" i="5"/>
  <c r="L11" i="5"/>
  <c r="J11" i="5"/>
  <c r="K11" i="5" s="1"/>
  <c r="H11" i="5"/>
  <c r="G11" i="5"/>
  <c r="F11" i="5"/>
  <c r="E11" i="5"/>
  <c r="D11" i="5"/>
  <c r="C11" i="5"/>
  <c r="B11" i="5"/>
  <c r="A11" i="5"/>
  <c r="M10" i="5"/>
  <c r="L10" i="5"/>
  <c r="J10" i="5"/>
  <c r="H10" i="5"/>
  <c r="G10" i="5"/>
  <c r="F10" i="5"/>
  <c r="E10" i="5"/>
  <c r="D10" i="5"/>
  <c r="C10" i="5"/>
  <c r="B10" i="5"/>
  <c r="A10" i="5"/>
  <c r="M9" i="5"/>
  <c r="L9" i="5"/>
  <c r="J9" i="5"/>
  <c r="K9" i="5" s="1"/>
  <c r="H9" i="5"/>
  <c r="G9" i="5"/>
  <c r="F9" i="5"/>
  <c r="E9" i="5"/>
  <c r="D9" i="5"/>
  <c r="C9" i="5"/>
  <c r="B9" i="5"/>
  <c r="A9" i="5"/>
  <c r="M8" i="5"/>
  <c r="L8" i="5"/>
  <c r="J8" i="5"/>
  <c r="K8" i="5" s="1"/>
  <c r="H8" i="5"/>
  <c r="G8" i="5"/>
  <c r="F8" i="5"/>
  <c r="E8" i="5"/>
  <c r="D8" i="5"/>
  <c r="C8" i="5"/>
  <c r="B8" i="5"/>
  <c r="A8" i="5"/>
  <c r="M7" i="5"/>
  <c r="L7" i="5"/>
  <c r="J7" i="5"/>
  <c r="K7" i="5" s="1"/>
  <c r="H7" i="5"/>
  <c r="G7" i="5"/>
  <c r="F7" i="5"/>
  <c r="E7" i="5"/>
  <c r="D7" i="5"/>
  <c r="C7" i="5"/>
  <c r="B7" i="5"/>
  <c r="A7" i="5"/>
  <c r="M6" i="5"/>
  <c r="L6" i="5"/>
  <c r="J6" i="5"/>
  <c r="K6" i="5" s="1"/>
  <c r="H6" i="5"/>
  <c r="G6" i="5"/>
  <c r="F6" i="5"/>
  <c r="E6" i="5"/>
  <c r="D6" i="5"/>
  <c r="C6" i="5"/>
  <c r="B6" i="5"/>
  <c r="A6" i="5"/>
  <c r="J18" i="5" l="1"/>
  <c r="B31" i="5" s="1"/>
  <c r="C24" i="5"/>
  <c r="C23" i="5"/>
  <c r="C25" i="5"/>
</calcChain>
</file>

<file path=xl/sharedStrings.xml><?xml version="1.0" encoding="utf-8"?>
<sst xmlns="http://schemas.openxmlformats.org/spreadsheetml/2006/main" count="162" uniqueCount="140">
  <si>
    <t>Portfolio Optimization – Parameters</t>
  </si>
  <si>
    <t>Parameter</t>
  </si>
  <si>
    <t>Value</t>
  </si>
  <si>
    <t>Beta (?)</t>
  </si>
  <si>
    <t>Risk penalty on volatility</t>
  </si>
  <si>
    <t>Gamma (?)</t>
  </si>
  <si>
    <t>Liquidity penalty on bid-ask spread</t>
  </si>
  <si>
    <t>B  –  RBC Capital Budget</t>
  </si>
  <si>
    <t>Max weighted-avg C1 factor allowed (12%)</t>
  </si>
  <si>
    <t>D_L  –  Liability Duration</t>
  </si>
  <si>
    <t>Target duration of liabilities (years)</t>
  </si>
  <si>
    <t>Epsilon (?)  –  Duration Tolerance</t>
  </si>
  <si>
    <t>Max allowable duration mismatch (±1 yr)</t>
  </si>
  <si>
    <t>q  –  Max BBB Weight</t>
  </si>
  <si>
    <t>Max total allocation to BBB-rated bonds</t>
  </si>
  <si>
    <t>u_Financials  –  Sector Cap</t>
  </si>
  <si>
    <t>Max weight in Financials sector</t>
  </si>
  <si>
    <t>u_Industrials  –  Sector Cap</t>
  </si>
  <si>
    <t>Max weight in Industrials sector</t>
  </si>
  <si>
    <t>Bond Universe – Input Data</t>
  </si>
  <si>
    <t>Bond ID</t>
  </si>
  <si>
    <t>Name</t>
  </si>
  <si>
    <t>Sector</t>
  </si>
  <si>
    <t>Rating</t>
  </si>
  <si>
    <t>GSpread (bps)</t>
  </si>
  <si>
    <t>Volatility</t>
  </si>
  <si>
    <t>Bid-Ask (bps)</t>
  </si>
  <si>
    <t>C1 Factor</t>
  </si>
  <si>
    <t>Duration (yrs)</t>
  </si>
  <si>
    <t>B01</t>
  </si>
  <si>
    <t>Corp A-Fin</t>
  </si>
  <si>
    <t>Financials</t>
  </si>
  <si>
    <t>A</t>
  </si>
  <si>
    <t>B02</t>
  </si>
  <si>
    <t>Corp BBB-Fin</t>
  </si>
  <si>
    <t>BBB</t>
  </si>
  <si>
    <t>B03</t>
  </si>
  <si>
    <t>Corp AA-Ind</t>
  </si>
  <si>
    <t>Industrials</t>
  </si>
  <si>
    <t>AA</t>
  </si>
  <si>
    <t>B04</t>
  </si>
  <si>
    <t>Corp A-Ind</t>
  </si>
  <si>
    <t>B05</t>
  </si>
  <si>
    <t>Corp BBB-Ind</t>
  </si>
  <si>
    <t>B06</t>
  </si>
  <si>
    <t>Corp AA-Util</t>
  </si>
  <si>
    <t>Utilities</t>
  </si>
  <si>
    <t>B07</t>
  </si>
  <si>
    <t>Corp A-Util</t>
  </si>
  <si>
    <t>B08</t>
  </si>
  <si>
    <t>Corp A-Engy</t>
  </si>
  <si>
    <t>Energy</t>
  </si>
  <si>
    <t>B09</t>
  </si>
  <si>
    <t>Corp BBB-Engy</t>
  </si>
  <si>
    <t>B10</t>
  </si>
  <si>
    <t>Corp AA-HC</t>
  </si>
  <si>
    <t>Healthcare</t>
  </si>
  <si>
    <t>Portfolio Optimizer  –  RBC Framework</t>
  </si>
  <si>
    <t>A.  Bond Allocation Table</t>
  </si>
  <si>
    <t>GSpread</t>
  </si>
  <si>
    <t>Bid-Ask</t>
  </si>
  <si>
    <t>Duration</t>
  </si>
  <si>
    <t>Weight (w)</t>
  </si>
  <si>
    <t>Adj Return</t>
  </si>
  <si>
    <t>Contribution</t>
  </si>
  <si>
    <t>C1 Contrib</t>
  </si>
  <si>
    <t>Dur Contrib</t>
  </si>
  <si>
    <t>(bps)</t>
  </si>
  <si>
    <t>w·AdjReturn</t>
  </si>
  <si>
    <t>w·C1</t>
  </si>
  <si>
    <t>w·Duration</t>
  </si>
  <si>
    <t>B.  Objective Function</t>
  </si>
  <si>
    <t>Maximize:</t>
  </si>
  <si>
    <t>OBJECTIVE =</t>
  </si>
  <si>
    <t>C.  Constraints  (Solver references these cells)</t>
  </si>
  <si>
    <t>Constraint</t>
  </si>
  <si>
    <t>Formula / Description</t>
  </si>
  <si>
    <t>Current Value</t>
  </si>
  <si>
    <t>Sense</t>
  </si>
  <si>
    <t>Limit</t>
  </si>
  <si>
    <t>C1 – Budget</t>
  </si>
  <si>
    <t>Sum of weights = 1  (fully invested)</t>
  </si>
  <si>
    <t>=</t>
  </si>
  <si>
    <t>C2 – RBC Capital (C1)</t>
  </si>
  <si>
    <t>&lt;=</t>
  </si>
  <si>
    <t>C3a – Duration (upper)</t>
  </si>
  <si>
    <t>C3b – Duration (lower)</t>
  </si>
  <si>
    <t>&gt;=</t>
  </si>
  <si>
    <t>C4 – BBB Cap</t>
  </si>
  <si>
    <t>C5 – Sector: Financials</t>
  </si>
  <si>
    <t>C6 – Sector: Industrials</t>
  </si>
  <si>
    <t>D.  Quick Status Dashboard</t>
  </si>
  <si>
    <t>Objective Value (bps)</t>
  </si>
  <si>
    <t>Higher is better</t>
  </si>
  <si>
    <t>Sum of Weights</t>
  </si>
  <si>
    <t>Must equal 1.0</t>
  </si>
  <si>
    <t>Portfolio Duration (yrs)</t>
  </si>
  <si>
    <t>Target: D_L ± Epsilon  (see Parameters)</t>
  </si>
  <si>
    <t>RBC C1 Usage</t>
  </si>
  <si>
    <t>BBB Allocation</t>
  </si>
  <si>
    <t>Financials Allocation</t>
  </si>
  <si>
    <t>How to Run the Optimization with Excel Solver</t>
  </si>
  <si>
    <t>STEP 1  –  Enable Solver (one-time setup)</t>
  </si>
  <si>
    <t xml:space="preserve">         Go to  File &gt; Options &gt; Add-ins &gt; Manage: Excel Add-ins &gt; Go...</t>
  </si>
  <si>
    <t xml:space="preserve">         Check 'Solver Add-in' and click OK.</t>
  </si>
  <si>
    <t>STEP 2  –  Open Solver</t>
  </si>
  <si>
    <t xml:space="preserve">         Go to the  Data  tab and click  Solver  (far right).</t>
  </si>
  <si>
    <t>STEP 3  –  Set Objective</t>
  </si>
  <si>
    <t xml:space="preserve">         Set Objective:    Optimizer!$J$18   (the green OBJECTIVE cell)</t>
  </si>
  <si>
    <t xml:space="preserve">         To:               Max</t>
  </si>
  <si>
    <t xml:space="preserve">         By Changing:      Optimizer!$I$6:$I$15   (the yellow Weight cells)</t>
  </si>
  <si>
    <t>STEP 4  –  Add Constraints (click 'Add' for each one)</t>
  </si>
  <si>
    <t xml:space="preserve">   #   Cell Reference           Relation   Limit Cell / Value</t>
  </si>
  <si>
    <t xml:space="preserve">   1   Optimizer!$C$22   (Budget)        =        1</t>
  </si>
  <si>
    <t xml:space="preserve">   2   Optimizer!$I$6:$I$15  (Weights)  &gt;= 0     (non-negativity)</t>
  </si>
  <si>
    <t xml:space="preserve">   3   Optimizer!$C$23   (RBC C1)       &lt;=       Parameters!$B$6</t>
  </si>
  <si>
    <t xml:space="preserve">   4   Optimizer!$C$24   (Dur upper)    &lt;=       Parameters!$B$7 + Parameters!$B$8</t>
  </si>
  <si>
    <t xml:space="preserve">   5   Optimizer!$C$25   (Dur lower)    &gt;=       Parameters!$B$7 - Parameters!$B$8</t>
  </si>
  <si>
    <t xml:space="preserve">   6   Optimizer!$C$26   (BBB cap)      &lt;=       Parameters!$B$9</t>
  </si>
  <si>
    <t xml:space="preserve">   7   Optimizer!$C$27   (Financials)   &lt;=       Parameters!$B$10</t>
  </si>
  <si>
    <t xml:space="preserve">   8   Optimizer!$C$28   (Industrials)  &lt;=       Parameters!$B$11</t>
  </si>
  <si>
    <t>STEP 5  –  Solver Method</t>
  </si>
  <si>
    <t xml:space="preserve">         Select Solving Method:  GRG Nonlinear   (or LP Simplex — both work here)</t>
  </si>
  <si>
    <t xml:space="preserve">         Click  Solve.</t>
  </si>
  <si>
    <t>STEP 6  –  Review Results</t>
  </si>
  <si>
    <t xml:space="preserve">         Accept the Solver solution.  The yellow Weight cells will update.</t>
  </si>
  <si>
    <t xml:space="preserve">         Check the green Objective cell and the Status Dashboard (rows 31-36)</t>
  </si>
  <si>
    <t xml:space="preserve">         of the Optimizer sheet to verify all constraints are satisfied.</t>
  </si>
  <si>
    <t>SOLVER CHANGES THIS</t>
  </si>
  <si>
    <t>GSprd-Beta·Vol-Gamma·BA</t>
  </si>
  <si>
    <t>Sum [ w · (GSpread  -  Beta·Vol·100  -  Gamma·BA)]</t>
  </si>
  <si>
    <t>D_A(w)  -  D_L &lt;= Epsilon</t>
  </si>
  <si>
    <t>D_A(w)  -  D_L &gt;= Epsilon</t>
  </si>
  <si>
    <t>Sum [w] &lt;= q (Rating=BBB)</t>
  </si>
  <si>
    <t>Sum [w·f(C1)]  &lt;=  B  (capital budget)</t>
  </si>
  <si>
    <t>Sum [w] &lt;= u_Fin (Sector=Financials)</t>
  </si>
  <si>
    <t>Sum [w] &lt;= u_Ind (Sector=Industrials)</t>
  </si>
  <si>
    <t>Must be &lt;= B_RBC</t>
  </si>
  <si>
    <t>Must be &lt;= q_BBB</t>
  </si>
  <si>
    <t>Must be &lt;= u_Fin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</si>
</sst>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rgb="FF595959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8"/>
      <color rgb="FF595959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rgb="FF1F497D"/>
      <name val="Aptos Narrow"/>
      <family val="2"/>
      <scheme val="minor"/>
    </font>
    <font>
      <sz val="11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EBF1F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06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2" fontId="0" fillId="0" borderId="0" xfId="0" applyNumberFormat="1"/>
    <xf numFmtId="0" fontId="4" fillId="0" borderId="0" xfId="0" applyFont="1"/>
    <xf numFmtId="0" fontId="5" fillId="0" borderId="0" xfId="0" applyFont="1"/>
    <xf numFmtId="0" fontId="0" fillId="3" borderId="0" xfId="0" applyFill="1"/>
    <xf numFmtId="2" fontId="0" fillId="3" borderId="0" xfId="0" applyNumberFormat="1" applyFill="1"/>
    <xf numFmtId="0" fontId="5" fillId="3" borderId="0" xfId="0" applyFont="1" applyFill="1"/>
    <xf numFmtId="0" fontId="3" fillId="2" borderId="0" xfId="0" applyFont="1" applyFill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4" fontId="0" fillId="0" borderId="0" xfId="0" applyNumberFormat="1"/>
    <xf numFmtId="164" fontId="0" fillId="3" borderId="0" xfId="0" applyNumberFormat="1" applyFill="1"/>
    <xf numFmtId="165" fontId="0" fillId="0" borderId="0" xfId="0" applyNumberFormat="1"/>
    <xf numFmtId="165" fontId="0" fillId="3" borderId="0" xfId="0" applyNumberFormat="1" applyFill="1"/>
    <xf numFmtId="0" fontId="2" fillId="0" borderId="0" xfId="0" applyFont="1"/>
    <xf numFmtId="0" fontId="6" fillId="0" borderId="0" xfId="0" applyFont="1"/>
    <xf numFmtId="0" fontId="3" fillId="2" borderId="0" xfId="0" applyFont="1" applyFill="1" applyAlignment="1">
      <alignment horizontal="center" wrapText="1"/>
    </xf>
    <xf numFmtId="0" fontId="7" fillId="0" borderId="0" xfId="0" applyFont="1" applyAlignment="1">
      <alignment horizontal="center"/>
    </xf>
    <xf numFmtId="0" fontId="8" fillId="4" borderId="0" xfId="0" applyFont="1" applyFill="1" applyAlignment="1">
      <alignment horizontal="center" wrapText="1"/>
    </xf>
    <xf numFmtId="166" fontId="1" fillId="5" borderId="0" xfId="0" applyNumberFormat="1" applyFont="1" applyFill="1"/>
    <xf numFmtId="166" fontId="0" fillId="0" borderId="0" xfId="0" applyNumberFormat="1"/>
    <xf numFmtId="166" fontId="0" fillId="3" borderId="0" xfId="0" applyNumberFormat="1" applyFill="1"/>
    <xf numFmtId="166" fontId="1" fillId="6" borderId="0" xfId="0" applyNumberFormat="1" applyFont="1" applyFill="1"/>
    <xf numFmtId="0" fontId="1" fillId="0" borderId="0" xfId="0" applyFont="1" applyAlignment="1">
      <alignment horizontal="right"/>
    </xf>
    <xf numFmtId="166" fontId="3" fillId="7" borderId="0" xfId="0" applyNumberFormat="1" applyFont="1" applyFill="1"/>
    <xf numFmtId="0" fontId="3" fillId="8" borderId="0" xfId="0" applyFont="1" applyFill="1"/>
    <xf numFmtId="0" fontId="1" fillId="3" borderId="0" xfId="0" applyFont="1" applyFill="1"/>
    <xf numFmtId="0" fontId="9" fillId="0" borderId="0" xfId="0" applyFont="1"/>
    <xf numFmtId="0" fontId="10" fillId="0" borderId="0" xfId="0" applyFont="1"/>
    <xf numFmtId="0" fontId="1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38A2B-5F2B-4B32-BDE7-02244091F6A3}">
  <sheetPr codeName="Sheet2"/>
  <dimension ref="A1:A35"/>
  <sheetViews>
    <sheetView workbookViewId="0"/>
  </sheetViews>
  <sheetFormatPr defaultRowHeight="14.5" x14ac:dyDescent="0.35"/>
  <cols>
    <col min="1" max="1" width="90.6328125" customWidth="1"/>
  </cols>
  <sheetData>
    <row r="1" spans="1:1" ht="21" x14ac:dyDescent="0.5">
      <c r="A1" s="30" t="s">
        <v>101</v>
      </c>
    </row>
    <row r="3" spans="1:1" x14ac:dyDescent="0.35">
      <c r="A3" s="31" t="s">
        <v>102</v>
      </c>
    </row>
    <row r="4" spans="1:1" x14ac:dyDescent="0.35">
      <c r="A4" t="s">
        <v>103</v>
      </c>
    </row>
    <row r="5" spans="1:1" x14ac:dyDescent="0.35">
      <c r="A5" t="s">
        <v>104</v>
      </c>
    </row>
    <row r="7" spans="1:1" x14ac:dyDescent="0.35">
      <c r="A7" s="31" t="s">
        <v>105</v>
      </c>
    </row>
    <row r="8" spans="1:1" x14ac:dyDescent="0.35">
      <c r="A8" t="s">
        <v>106</v>
      </c>
    </row>
    <row r="10" spans="1:1" x14ac:dyDescent="0.35">
      <c r="A10" s="31" t="s">
        <v>107</v>
      </c>
    </row>
    <row r="11" spans="1:1" x14ac:dyDescent="0.35">
      <c r="A11" t="s">
        <v>108</v>
      </c>
    </row>
    <row r="12" spans="1:1" x14ac:dyDescent="0.35">
      <c r="A12" t="s">
        <v>109</v>
      </c>
    </row>
    <row r="13" spans="1:1" x14ac:dyDescent="0.35">
      <c r="A13" t="s">
        <v>110</v>
      </c>
    </row>
    <row r="16" spans="1:1" x14ac:dyDescent="0.35">
      <c r="A16" s="31" t="s">
        <v>111</v>
      </c>
    </row>
    <row r="18" spans="1:1" x14ac:dyDescent="0.35">
      <c r="A18" t="s">
        <v>112</v>
      </c>
    </row>
    <row r="19" spans="1:1" x14ac:dyDescent="0.35">
      <c r="A19" s="32" t="s">
        <v>113</v>
      </c>
    </row>
    <row r="20" spans="1:1" x14ac:dyDescent="0.35">
      <c r="A20" s="32" t="s">
        <v>114</v>
      </c>
    </row>
    <row r="21" spans="1:1" x14ac:dyDescent="0.35">
      <c r="A21" s="32" t="s">
        <v>115</v>
      </c>
    </row>
    <row r="22" spans="1:1" x14ac:dyDescent="0.35">
      <c r="A22" s="32" t="s">
        <v>116</v>
      </c>
    </row>
    <row r="23" spans="1:1" x14ac:dyDescent="0.35">
      <c r="A23" s="32" t="s">
        <v>117</v>
      </c>
    </row>
    <row r="24" spans="1:1" x14ac:dyDescent="0.35">
      <c r="A24" s="32" t="s">
        <v>118</v>
      </c>
    </row>
    <row r="25" spans="1:1" x14ac:dyDescent="0.35">
      <c r="A25" s="32" t="s">
        <v>119</v>
      </c>
    </row>
    <row r="26" spans="1:1" x14ac:dyDescent="0.35">
      <c r="A26" s="32" t="s">
        <v>120</v>
      </c>
    </row>
    <row r="28" spans="1:1" x14ac:dyDescent="0.35">
      <c r="A28" s="31" t="s">
        <v>121</v>
      </c>
    </row>
    <row r="29" spans="1:1" x14ac:dyDescent="0.35">
      <c r="A29" t="s">
        <v>122</v>
      </c>
    </row>
    <row r="30" spans="1:1" x14ac:dyDescent="0.35">
      <c r="A30" t="s">
        <v>123</v>
      </c>
    </row>
    <row r="32" spans="1:1" x14ac:dyDescent="0.35">
      <c r="A32" s="31" t="s">
        <v>124</v>
      </c>
    </row>
    <row r="33" spans="1:1" x14ac:dyDescent="0.35">
      <c r="A33" t="s">
        <v>125</v>
      </c>
    </row>
    <row r="34" spans="1:1" x14ac:dyDescent="0.35">
      <c r="A34" t="s">
        <v>126</v>
      </c>
    </row>
    <row r="35" spans="1:1" x14ac:dyDescent="0.35">
      <c r="A35" t="s">
        <v>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5F9E2-045F-493A-BA1E-05C2F6BC69B0}">
  <sheetPr codeName="Sheet3"/>
  <dimension ref="A1:C11"/>
  <sheetViews>
    <sheetView workbookViewId="0">
      <selection activeCell="C11" sqref="C11"/>
    </sheetView>
  </sheetViews>
  <sheetFormatPr defaultRowHeight="14.5" x14ac:dyDescent="0.35"/>
  <cols>
    <col min="1" max="1" width="38.81640625" bestFit="1" customWidth="1"/>
    <col min="2" max="2" width="10.6328125" customWidth="1"/>
    <col min="3" max="3" width="35.81640625" bestFit="1" customWidth="1"/>
  </cols>
  <sheetData>
    <row r="1" spans="1:3" ht="18.5" x14ac:dyDescent="0.45">
      <c r="A1" s="2" t="s">
        <v>0</v>
      </c>
    </row>
    <row r="3" spans="1:3" x14ac:dyDescent="0.35">
      <c r="A3" s="3" t="s">
        <v>1</v>
      </c>
      <c r="B3" s="3" t="s">
        <v>2</v>
      </c>
    </row>
    <row r="4" spans="1:3" x14ac:dyDescent="0.35">
      <c r="A4" t="s">
        <v>3</v>
      </c>
      <c r="B4" s="4">
        <v>0</v>
      </c>
      <c r="C4" s="6" t="s">
        <v>4</v>
      </c>
    </row>
    <row r="5" spans="1:3" s="7" customFormat="1" x14ac:dyDescent="0.35">
      <c r="A5" s="7" t="s">
        <v>5</v>
      </c>
      <c r="B5" s="8">
        <v>0</v>
      </c>
      <c r="C5" s="9" t="s">
        <v>6</v>
      </c>
    </row>
    <row r="6" spans="1:3" x14ac:dyDescent="0.35">
      <c r="A6" t="s">
        <v>7</v>
      </c>
      <c r="B6" s="4">
        <v>0.12</v>
      </c>
      <c r="C6" s="6" t="s">
        <v>8</v>
      </c>
    </row>
    <row r="7" spans="1:3" s="7" customFormat="1" x14ac:dyDescent="0.35">
      <c r="A7" s="7" t="s">
        <v>9</v>
      </c>
      <c r="B7" s="8">
        <v>7</v>
      </c>
      <c r="C7" s="9" t="s">
        <v>10</v>
      </c>
    </row>
    <row r="8" spans="1:3" x14ac:dyDescent="0.35">
      <c r="A8" t="s">
        <v>11</v>
      </c>
      <c r="B8" s="4">
        <v>1</v>
      </c>
      <c r="C8" s="6" t="s">
        <v>12</v>
      </c>
    </row>
    <row r="9" spans="1:3" s="7" customFormat="1" x14ac:dyDescent="0.35">
      <c r="A9" s="7" t="s">
        <v>13</v>
      </c>
      <c r="B9" s="8">
        <v>0.9</v>
      </c>
      <c r="C9" s="9" t="s">
        <v>14</v>
      </c>
    </row>
    <row r="10" spans="1:3" x14ac:dyDescent="0.35">
      <c r="A10" t="s">
        <v>15</v>
      </c>
      <c r="B10" s="4">
        <v>0.4</v>
      </c>
      <c r="C10" s="6" t="s">
        <v>16</v>
      </c>
    </row>
    <row r="11" spans="1:3" s="7" customFormat="1" x14ac:dyDescent="0.35">
      <c r="A11" s="7" t="s">
        <v>17</v>
      </c>
      <c r="B11" s="8">
        <v>0.4</v>
      </c>
      <c r="C11" s="9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A8DE9-EC73-4402-AFB8-DEC246DACD49}">
  <sheetPr codeName="Sheet4"/>
  <dimension ref="A1:I13"/>
  <sheetViews>
    <sheetView workbookViewId="0">
      <selection activeCell="F22" sqref="F22"/>
    </sheetView>
  </sheetViews>
  <sheetFormatPr defaultRowHeight="14.5" x14ac:dyDescent="0.35"/>
  <cols>
    <col min="1" max="1" width="29.54296875" bestFit="1" customWidth="1"/>
    <col min="2" max="2" width="12.7265625" bestFit="1" customWidth="1"/>
    <col min="3" max="3" width="9.81640625" bestFit="1" customWidth="1"/>
    <col min="4" max="4" width="6.1796875" bestFit="1" customWidth="1"/>
    <col min="5" max="5" width="12.7265625" bestFit="1" customWidth="1"/>
    <col min="6" max="6" width="8.26953125" bestFit="1" customWidth="1"/>
    <col min="7" max="7" width="11.90625" bestFit="1" customWidth="1"/>
    <col min="9" max="9" width="12.1796875" bestFit="1" customWidth="1"/>
  </cols>
  <sheetData>
    <row r="1" spans="1:9" ht="18.5" x14ac:dyDescent="0.45">
      <c r="A1" s="2" t="s">
        <v>19</v>
      </c>
    </row>
    <row r="3" spans="1:9" x14ac:dyDescent="0.35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0" t="s">
        <v>27</v>
      </c>
      <c r="I3" s="10" t="s">
        <v>28</v>
      </c>
    </row>
    <row r="4" spans="1:9" x14ac:dyDescent="0.35">
      <c r="A4" t="s">
        <v>29</v>
      </c>
      <c r="B4" t="s">
        <v>30</v>
      </c>
      <c r="C4" t="s">
        <v>31</v>
      </c>
      <c r="D4" t="s">
        <v>32</v>
      </c>
      <c r="E4" s="11">
        <v>120</v>
      </c>
      <c r="F4" s="4">
        <v>0.08</v>
      </c>
      <c r="G4" s="11">
        <v>5</v>
      </c>
      <c r="H4" s="13">
        <v>0.01</v>
      </c>
      <c r="I4" s="15">
        <v>5.2</v>
      </c>
    </row>
    <row r="5" spans="1:9" s="7" customFormat="1" x14ac:dyDescent="0.35">
      <c r="A5" s="7" t="s">
        <v>33</v>
      </c>
      <c r="B5" s="7" t="s">
        <v>34</v>
      </c>
      <c r="C5" s="7" t="s">
        <v>31</v>
      </c>
      <c r="D5" s="7" t="s">
        <v>35</v>
      </c>
      <c r="E5" s="12">
        <v>180</v>
      </c>
      <c r="F5" s="8">
        <v>0.12</v>
      </c>
      <c r="G5" s="12">
        <v>8</v>
      </c>
      <c r="H5" s="14">
        <v>0.02</v>
      </c>
      <c r="I5" s="16">
        <v>4.8</v>
      </c>
    </row>
    <row r="6" spans="1:9" x14ac:dyDescent="0.35">
      <c r="A6" t="s">
        <v>36</v>
      </c>
      <c r="B6" t="s">
        <v>37</v>
      </c>
      <c r="C6" t="s">
        <v>38</v>
      </c>
      <c r="D6" t="s">
        <v>39</v>
      </c>
      <c r="E6" s="11">
        <v>80</v>
      </c>
      <c r="F6" s="4">
        <v>0.05</v>
      </c>
      <c r="G6" s="11">
        <v>3</v>
      </c>
      <c r="H6" s="13">
        <v>4.0000000000000001E-3</v>
      </c>
      <c r="I6" s="15">
        <v>6.5</v>
      </c>
    </row>
    <row r="7" spans="1:9" s="7" customFormat="1" x14ac:dyDescent="0.35">
      <c r="A7" s="7" t="s">
        <v>40</v>
      </c>
      <c r="B7" s="7" t="s">
        <v>41</v>
      </c>
      <c r="C7" s="7" t="s">
        <v>38</v>
      </c>
      <c r="D7" s="7" t="s">
        <v>32</v>
      </c>
      <c r="E7" s="12">
        <v>130</v>
      </c>
      <c r="F7" s="8">
        <v>0.09</v>
      </c>
      <c r="G7" s="12">
        <v>6</v>
      </c>
      <c r="H7" s="14">
        <v>0.01</v>
      </c>
      <c r="I7" s="16">
        <v>7.1</v>
      </c>
    </row>
    <row r="8" spans="1:9" x14ac:dyDescent="0.35">
      <c r="A8" t="s">
        <v>42</v>
      </c>
      <c r="B8" t="s">
        <v>43</v>
      </c>
      <c r="C8" t="s">
        <v>38</v>
      </c>
      <c r="D8" t="s">
        <v>35</v>
      </c>
      <c r="E8" s="11">
        <v>200</v>
      </c>
      <c r="F8" s="4">
        <v>0.14000000000000001</v>
      </c>
      <c r="G8" s="11">
        <v>10</v>
      </c>
      <c r="H8" s="13">
        <v>0.02</v>
      </c>
      <c r="I8" s="15">
        <v>8.3000000000000007</v>
      </c>
    </row>
    <row r="9" spans="1:9" s="7" customFormat="1" x14ac:dyDescent="0.35">
      <c r="A9" s="7" t="s">
        <v>44</v>
      </c>
      <c r="B9" s="7" t="s">
        <v>45</v>
      </c>
      <c r="C9" s="7" t="s">
        <v>46</v>
      </c>
      <c r="D9" s="7" t="s">
        <v>39</v>
      </c>
      <c r="E9" s="12">
        <v>70</v>
      </c>
      <c r="F9" s="8">
        <v>0.04</v>
      </c>
      <c r="G9" s="12">
        <v>3</v>
      </c>
      <c r="H9" s="14">
        <v>4.0000000000000001E-3</v>
      </c>
      <c r="I9" s="16">
        <v>9</v>
      </c>
    </row>
    <row r="10" spans="1:9" x14ac:dyDescent="0.35">
      <c r="A10" t="s">
        <v>47</v>
      </c>
      <c r="B10" t="s">
        <v>48</v>
      </c>
      <c r="C10" t="s">
        <v>46</v>
      </c>
      <c r="D10" t="s">
        <v>32</v>
      </c>
      <c r="E10" s="11">
        <v>110</v>
      </c>
      <c r="F10" s="4">
        <v>7.0000000000000007E-2</v>
      </c>
      <c r="G10" s="11">
        <v>4</v>
      </c>
      <c r="H10" s="13">
        <v>0.01</v>
      </c>
      <c r="I10" s="15">
        <v>8.6999999999999993</v>
      </c>
    </row>
    <row r="11" spans="1:9" s="7" customFormat="1" x14ac:dyDescent="0.35">
      <c r="A11" s="7" t="s">
        <v>49</v>
      </c>
      <c r="B11" s="7" t="s">
        <v>50</v>
      </c>
      <c r="C11" s="7" t="s">
        <v>51</v>
      </c>
      <c r="D11" s="7" t="s">
        <v>32</v>
      </c>
      <c r="E11" s="12">
        <v>150</v>
      </c>
      <c r="F11" s="8">
        <v>0.11</v>
      </c>
      <c r="G11" s="12">
        <v>7</v>
      </c>
      <c r="H11" s="14">
        <v>0.01</v>
      </c>
      <c r="I11" s="16">
        <v>6.2</v>
      </c>
    </row>
    <row r="12" spans="1:9" x14ac:dyDescent="0.35">
      <c r="A12" t="s">
        <v>52</v>
      </c>
      <c r="B12" t="s">
        <v>53</v>
      </c>
      <c r="C12" t="s">
        <v>51</v>
      </c>
      <c r="D12" t="s">
        <v>35</v>
      </c>
      <c r="E12" s="11">
        <v>220</v>
      </c>
      <c r="F12" s="4">
        <v>0.16</v>
      </c>
      <c r="G12" s="11">
        <v>12</v>
      </c>
      <c r="H12" s="13">
        <v>0.02</v>
      </c>
      <c r="I12" s="15">
        <v>5.8</v>
      </c>
    </row>
    <row r="13" spans="1:9" s="7" customFormat="1" x14ac:dyDescent="0.35">
      <c r="A13" s="7" t="s">
        <v>54</v>
      </c>
      <c r="B13" s="7" t="s">
        <v>55</v>
      </c>
      <c r="C13" s="7" t="s">
        <v>56</v>
      </c>
      <c r="D13" s="7" t="s">
        <v>39</v>
      </c>
      <c r="E13" s="12">
        <v>75</v>
      </c>
      <c r="F13" s="8">
        <v>0.05</v>
      </c>
      <c r="G13" s="12">
        <v>3</v>
      </c>
      <c r="H13" s="14">
        <v>4.0000000000000001E-3</v>
      </c>
      <c r="I13" s="16">
        <v>7.4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8DC2-963D-4298-92B8-A4000BF9C331}">
  <sheetPr codeName="Sheet5"/>
  <dimension ref="A1:N36"/>
  <sheetViews>
    <sheetView tabSelected="1" workbookViewId="0">
      <selection activeCell="I21" sqref="I21"/>
    </sheetView>
  </sheetViews>
  <sheetFormatPr defaultRowHeight="14.5" x14ac:dyDescent="0.35"/>
  <cols>
    <col min="1" max="1" width="42.90625" bestFit="1" customWidth="1"/>
    <col min="2" max="2" width="30.1796875" bestFit="1" customWidth="1"/>
    <col min="3" max="3" width="41.90625" bestFit="1" customWidth="1"/>
    <col min="4" max="4" width="8" bestFit="1" customWidth="1"/>
    <col min="5" max="5" width="8.26953125" bestFit="1" customWidth="1"/>
    <col min="6" max="6" width="7.1796875" bestFit="1" customWidth="1"/>
    <col min="8" max="8" width="8.08984375" bestFit="1" customWidth="1"/>
    <col min="9" max="9" width="14.6328125" customWidth="1"/>
    <col min="10" max="10" width="17.453125" bestFit="1" customWidth="1"/>
    <col min="11" max="11" width="8.26953125" bestFit="1" customWidth="1"/>
    <col min="12" max="12" width="7.08984375" bestFit="1" customWidth="1"/>
    <col min="13" max="13" width="7.54296875" bestFit="1" customWidth="1"/>
  </cols>
  <sheetData>
    <row r="1" spans="1:14" ht="18.5" x14ac:dyDescent="0.45">
      <c r="A1" s="17" t="s">
        <v>57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3" spans="1:14" ht="16" x14ac:dyDescent="0.4">
      <c r="A3" s="18" t="s">
        <v>58</v>
      </c>
    </row>
    <row r="4" spans="1:14" ht="30" customHeight="1" x14ac:dyDescent="0.35">
      <c r="A4" s="19" t="s">
        <v>20</v>
      </c>
      <c r="B4" s="19" t="s">
        <v>22</v>
      </c>
      <c r="C4" s="19" t="s">
        <v>23</v>
      </c>
      <c r="D4" s="19" t="s">
        <v>59</v>
      </c>
      <c r="E4" s="19" t="s">
        <v>25</v>
      </c>
      <c r="F4" s="19" t="s">
        <v>60</v>
      </c>
      <c r="G4" s="19" t="s">
        <v>27</v>
      </c>
      <c r="H4" s="19" t="s">
        <v>61</v>
      </c>
      <c r="I4" s="21" t="s">
        <v>62</v>
      </c>
      <c r="J4" s="19" t="s">
        <v>63</v>
      </c>
      <c r="K4" s="19" t="s">
        <v>64</v>
      </c>
      <c r="L4" s="19" t="s">
        <v>65</v>
      </c>
      <c r="M4" s="19" t="s">
        <v>66</v>
      </c>
    </row>
    <row r="5" spans="1:14" x14ac:dyDescent="0.35">
      <c r="A5" s="20"/>
      <c r="B5" s="20"/>
      <c r="C5" s="20"/>
      <c r="D5" s="20" t="s">
        <v>67</v>
      </c>
      <c r="E5" s="20"/>
      <c r="F5" s="20" t="s">
        <v>67</v>
      </c>
      <c r="G5" s="20"/>
      <c r="H5" s="20"/>
      <c r="I5" s="20" t="s">
        <v>128</v>
      </c>
      <c r="J5" s="20" t="s">
        <v>129</v>
      </c>
      <c r="K5" s="20" t="s">
        <v>68</v>
      </c>
      <c r="L5" s="20" t="s">
        <v>69</v>
      </c>
      <c r="M5" s="20" t="s">
        <v>70</v>
      </c>
    </row>
    <row r="6" spans="1:14" x14ac:dyDescent="0.35">
      <c r="A6" t="str">
        <f>Bonds!A4</f>
        <v>B01</v>
      </c>
      <c r="B6" t="str">
        <f>Bonds!C4</f>
        <v>Financials</v>
      </c>
      <c r="C6" t="str">
        <f>Bonds!D4</f>
        <v>A</v>
      </c>
      <c r="D6" s="11">
        <f>Bonds!E4</f>
        <v>120</v>
      </c>
      <c r="E6" s="4">
        <f>Bonds!F4</f>
        <v>0.08</v>
      </c>
      <c r="F6" s="11">
        <f>Bonds!G4</f>
        <v>5</v>
      </c>
      <c r="G6">
        <f>Bonds!H4</f>
        <v>0.01</v>
      </c>
      <c r="H6">
        <f>Bonds!I4</f>
        <v>5.2</v>
      </c>
      <c r="I6" s="22">
        <v>0</v>
      </c>
      <c r="J6" s="4">
        <f>D6-Beta*E6*100-Gamma*F6</f>
        <v>120</v>
      </c>
      <c r="K6" s="23">
        <f>I6*J6</f>
        <v>0</v>
      </c>
      <c r="L6" s="23">
        <f>I6*G6</f>
        <v>0</v>
      </c>
      <c r="M6" s="23">
        <f>I6*H6</f>
        <v>0</v>
      </c>
    </row>
    <row r="7" spans="1:14" s="7" customFormat="1" x14ac:dyDescent="0.35">
      <c r="A7" s="7" t="str">
        <f>Bonds!A5</f>
        <v>B02</v>
      </c>
      <c r="B7" s="7" t="str">
        <f>Bonds!C5</f>
        <v>Financials</v>
      </c>
      <c r="C7" s="7" t="str">
        <f>Bonds!D5</f>
        <v>BBB</v>
      </c>
      <c r="D7" s="12">
        <f>Bonds!E5</f>
        <v>180</v>
      </c>
      <c r="E7" s="8">
        <f>Bonds!F5</f>
        <v>0.12</v>
      </c>
      <c r="F7" s="12">
        <f>Bonds!G5</f>
        <v>8</v>
      </c>
      <c r="G7" s="7">
        <f>Bonds!H5</f>
        <v>0.02</v>
      </c>
      <c r="H7" s="7">
        <f>Bonds!I5</f>
        <v>4.8</v>
      </c>
      <c r="I7" s="25">
        <v>0</v>
      </c>
      <c r="J7" s="8">
        <f>D7-Beta*E7*100-Gamma*F7</f>
        <v>180</v>
      </c>
      <c r="K7" s="24">
        <f>I7*J7</f>
        <v>0</v>
      </c>
      <c r="L7" s="24">
        <f>I7*G7</f>
        <v>0</v>
      </c>
      <c r="M7" s="24">
        <f>I7*H7</f>
        <v>0</v>
      </c>
    </row>
    <row r="8" spans="1:14" x14ac:dyDescent="0.35">
      <c r="A8" t="str">
        <f>Bonds!A6</f>
        <v>B03</v>
      </c>
      <c r="B8" t="str">
        <f>Bonds!C6</f>
        <v>Industrials</v>
      </c>
      <c r="C8" t="str">
        <f>Bonds!D6</f>
        <v>AA</v>
      </c>
      <c r="D8" s="11">
        <f>Bonds!E6</f>
        <v>80</v>
      </c>
      <c r="E8" s="4">
        <f>Bonds!F6</f>
        <v>0.05</v>
      </c>
      <c r="F8" s="11">
        <f>Bonds!G6</f>
        <v>3</v>
      </c>
      <c r="G8">
        <f>Bonds!H6</f>
        <v>4.0000000000000001E-3</v>
      </c>
      <c r="H8">
        <f>Bonds!I6</f>
        <v>6.5</v>
      </c>
      <c r="I8" s="22">
        <v>0</v>
      </c>
      <c r="J8" s="4">
        <f>D8-Beta*E8*100-Gamma*F8</f>
        <v>80</v>
      </c>
      <c r="K8" s="23">
        <f>I8*J8</f>
        <v>0</v>
      </c>
      <c r="L8" s="23">
        <f>I8*G8</f>
        <v>0</v>
      </c>
      <c r="M8" s="23">
        <f>I8*H8</f>
        <v>0</v>
      </c>
    </row>
    <row r="9" spans="1:14" s="7" customFormat="1" x14ac:dyDescent="0.35">
      <c r="A9" s="7" t="str">
        <f>Bonds!A7</f>
        <v>B04</v>
      </c>
      <c r="B9" s="7" t="str">
        <f>Bonds!C7</f>
        <v>Industrials</v>
      </c>
      <c r="C9" s="7" t="str">
        <f>Bonds!D7</f>
        <v>A</v>
      </c>
      <c r="D9" s="12">
        <f>Bonds!E7</f>
        <v>130</v>
      </c>
      <c r="E9" s="8">
        <f>Bonds!F7</f>
        <v>0.09</v>
      </c>
      <c r="F9" s="12">
        <f>Bonds!G7</f>
        <v>6</v>
      </c>
      <c r="G9" s="7">
        <f>Bonds!H7</f>
        <v>0.01</v>
      </c>
      <c r="H9" s="7">
        <f>Bonds!I7</f>
        <v>7.1</v>
      </c>
      <c r="I9" s="25">
        <v>0</v>
      </c>
      <c r="J9" s="8">
        <f>D9-Beta*E9*100-Gamma*F9</f>
        <v>130</v>
      </c>
      <c r="K9" s="24">
        <f>I9*J9</f>
        <v>0</v>
      </c>
      <c r="L9" s="24">
        <f>I9*G9</f>
        <v>0</v>
      </c>
      <c r="M9" s="24">
        <f>I9*H9</f>
        <v>0</v>
      </c>
    </row>
    <row r="10" spans="1:14" x14ac:dyDescent="0.35">
      <c r="A10" t="str">
        <f>Bonds!A8</f>
        <v>B05</v>
      </c>
      <c r="B10" t="str">
        <f>Bonds!C8</f>
        <v>Industrials</v>
      </c>
      <c r="C10" t="str">
        <f>Bonds!D8</f>
        <v>BBB</v>
      </c>
      <c r="D10" s="11">
        <f>Bonds!E8</f>
        <v>200</v>
      </c>
      <c r="E10" s="4">
        <f>Bonds!F8</f>
        <v>0.14000000000000001</v>
      </c>
      <c r="F10" s="11">
        <f>Bonds!G8</f>
        <v>10</v>
      </c>
      <c r="G10">
        <f>Bonds!H8</f>
        <v>0.02</v>
      </c>
      <c r="H10">
        <f>Bonds!I8</f>
        <v>8.3000000000000007</v>
      </c>
      <c r="I10" s="22">
        <v>6.3999950647352602E-2</v>
      </c>
      <c r="J10" s="4">
        <f>D10-Beta*E10*100-Gamma*F10</f>
        <v>200</v>
      </c>
      <c r="K10" s="23">
        <f>I10*J10</f>
        <v>12.799990129470521</v>
      </c>
      <c r="L10" s="23">
        <f>I10*G10</f>
        <v>1.279999012947052E-3</v>
      </c>
      <c r="M10" s="23">
        <f>I10*H10</f>
        <v>0.53119959037302666</v>
      </c>
    </row>
    <row r="11" spans="1:14" s="7" customFormat="1" x14ac:dyDescent="0.35">
      <c r="A11" s="7" t="str">
        <f>Bonds!A9</f>
        <v>B06</v>
      </c>
      <c r="B11" s="7" t="str">
        <f>Bonds!C9</f>
        <v>Utilities</v>
      </c>
      <c r="C11" s="7" t="str">
        <f>Bonds!D9</f>
        <v>AA</v>
      </c>
      <c r="D11" s="12">
        <f>Bonds!E9</f>
        <v>70</v>
      </c>
      <c r="E11" s="8">
        <f>Bonds!F9</f>
        <v>0.04</v>
      </c>
      <c r="F11" s="12">
        <f>Bonds!G9</f>
        <v>3</v>
      </c>
      <c r="G11" s="7">
        <f>Bonds!H9</f>
        <v>4.0000000000000001E-3</v>
      </c>
      <c r="H11" s="7">
        <f>Bonds!I9</f>
        <v>9</v>
      </c>
      <c r="I11" s="25">
        <v>0</v>
      </c>
      <c r="J11" s="8">
        <f>D11-Beta*E11*100-Gamma*F11</f>
        <v>70</v>
      </c>
      <c r="K11" s="24">
        <f>I11*J11</f>
        <v>0</v>
      </c>
      <c r="L11" s="24">
        <f>I11*G11</f>
        <v>0</v>
      </c>
      <c r="M11" s="24">
        <f>I11*H11</f>
        <v>0</v>
      </c>
    </row>
    <row r="12" spans="1:14" x14ac:dyDescent="0.35">
      <c r="A12" t="str">
        <f>Bonds!A10</f>
        <v>B07</v>
      </c>
      <c r="B12" t="str">
        <f>Bonds!C10</f>
        <v>Utilities</v>
      </c>
      <c r="C12" t="str">
        <f>Bonds!D10</f>
        <v>A</v>
      </c>
      <c r="D12" s="11">
        <f>Bonds!E10</f>
        <v>110</v>
      </c>
      <c r="E12" s="4">
        <f>Bonds!F10</f>
        <v>7.0000000000000007E-2</v>
      </c>
      <c r="F12" s="11">
        <f>Bonds!G10</f>
        <v>4</v>
      </c>
      <c r="G12">
        <f>Bonds!H10</f>
        <v>0.01</v>
      </c>
      <c r="H12">
        <f>Bonds!I10</f>
        <v>8.6999999999999993</v>
      </c>
      <c r="I12" s="22">
        <v>0</v>
      </c>
      <c r="J12" s="4">
        <f>D12-Beta*E12*100-Gamma*F12</f>
        <v>110</v>
      </c>
      <c r="K12" s="23">
        <f>I12*J12</f>
        <v>0</v>
      </c>
      <c r="L12" s="23">
        <f>I12*G12</f>
        <v>0</v>
      </c>
      <c r="M12" s="23">
        <f>I12*H12</f>
        <v>0</v>
      </c>
    </row>
    <row r="13" spans="1:14" s="7" customFormat="1" x14ac:dyDescent="0.35">
      <c r="A13" s="7" t="str">
        <f>Bonds!A11</f>
        <v>B08</v>
      </c>
      <c r="B13" s="7" t="str">
        <f>Bonds!C11</f>
        <v>Energy</v>
      </c>
      <c r="C13" s="7" t="str">
        <f>Bonds!D11</f>
        <v>A</v>
      </c>
      <c r="D13" s="12">
        <f>Bonds!E11</f>
        <v>150</v>
      </c>
      <c r="E13" s="8">
        <f>Bonds!F11</f>
        <v>0.11</v>
      </c>
      <c r="F13" s="12">
        <f>Bonds!G11</f>
        <v>7</v>
      </c>
      <c r="G13" s="7">
        <f>Bonds!H11</f>
        <v>0.01</v>
      </c>
      <c r="H13" s="7">
        <f>Bonds!I11</f>
        <v>6.2</v>
      </c>
      <c r="I13" s="25">
        <v>0.10000000000000003</v>
      </c>
      <c r="J13" s="8">
        <f>D13-Beta*E13*100-Gamma*F13</f>
        <v>150</v>
      </c>
      <c r="K13" s="24">
        <f>I13*J13</f>
        <v>15.000000000000005</v>
      </c>
      <c r="L13" s="24">
        <f>I13*G13</f>
        <v>1.0000000000000005E-3</v>
      </c>
      <c r="M13" s="24">
        <f>I13*H13</f>
        <v>0.62000000000000022</v>
      </c>
    </row>
    <row r="14" spans="1:14" x14ac:dyDescent="0.35">
      <c r="A14" t="str">
        <f>Bonds!A12</f>
        <v>B09</v>
      </c>
      <c r="B14" t="str">
        <f>Bonds!C12</f>
        <v>Energy</v>
      </c>
      <c r="C14" t="str">
        <f>Bonds!D12</f>
        <v>BBB</v>
      </c>
      <c r="D14" s="11">
        <f>Bonds!E12</f>
        <v>220</v>
      </c>
      <c r="E14" s="4">
        <f>Bonds!F12</f>
        <v>0.16</v>
      </c>
      <c r="F14" s="11">
        <f>Bonds!G12</f>
        <v>12</v>
      </c>
      <c r="G14">
        <f>Bonds!H12</f>
        <v>0.02</v>
      </c>
      <c r="H14">
        <f>Bonds!I12</f>
        <v>5.8</v>
      </c>
      <c r="I14" s="22">
        <v>0.83600004935264749</v>
      </c>
      <c r="J14" s="4">
        <f>D14-Beta*E14*100-Gamma*F14</f>
        <v>220</v>
      </c>
      <c r="K14" s="23">
        <f>I14*J14</f>
        <v>183.92001085758244</v>
      </c>
      <c r="L14" s="23">
        <f>I14*G14</f>
        <v>1.6720000987052949E-2</v>
      </c>
      <c r="M14" s="23">
        <f>I14*H14</f>
        <v>4.8488002862453552</v>
      </c>
    </row>
    <row r="15" spans="1:14" s="7" customFormat="1" x14ac:dyDescent="0.35">
      <c r="A15" s="7" t="str">
        <f>Bonds!A13</f>
        <v>B10</v>
      </c>
      <c r="B15" s="7" t="str">
        <f>Bonds!C13</f>
        <v>Healthcare</v>
      </c>
      <c r="C15" s="7" t="str">
        <f>Bonds!D13</f>
        <v>AA</v>
      </c>
      <c r="D15" s="12">
        <f>Bonds!E13</f>
        <v>75</v>
      </c>
      <c r="E15" s="8">
        <f>Bonds!F13</f>
        <v>0.05</v>
      </c>
      <c r="F15" s="12">
        <f>Bonds!G13</f>
        <v>3</v>
      </c>
      <c r="G15" s="7">
        <f>Bonds!H13</f>
        <v>4.0000000000000001E-3</v>
      </c>
      <c r="H15" s="7">
        <f>Bonds!I13</f>
        <v>7.4</v>
      </c>
      <c r="I15" s="25">
        <v>0</v>
      </c>
      <c r="J15" s="8">
        <f>D15-Beta*E15*100-Gamma*F15</f>
        <v>75</v>
      </c>
      <c r="K15" s="24">
        <f>I15*J15</f>
        <v>0</v>
      </c>
      <c r="L15" s="24">
        <f>I15*G15</f>
        <v>0</v>
      </c>
      <c r="M15" s="24">
        <f>I15*H15</f>
        <v>0</v>
      </c>
    </row>
    <row r="17" spans="1:10" ht="16" x14ac:dyDescent="0.4">
      <c r="A17" s="18" t="s">
        <v>71</v>
      </c>
    </row>
    <row r="18" spans="1:10" x14ac:dyDescent="0.35">
      <c r="A18" s="1" t="s">
        <v>72</v>
      </c>
      <c r="C18" s="5" t="s">
        <v>130</v>
      </c>
      <c r="I18" s="26" t="s">
        <v>73</v>
      </c>
      <c r="J18" s="27">
        <f>SUM(K6:K15)</f>
        <v>211.72000098705297</v>
      </c>
    </row>
    <row r="20" spans="1:10" ht="16" x14ac:dyDescent="0.4">
      <c r="A20" s="18" t="s">
        <v>74</v>
      </c>
    </row>
    <row r="21" spans="1:10" x14ac:dyDescent="0.35">
      <c r="A21" s="28" t="s">
        <v>75</v>
      </c>
      <c r="B21" s="28" t="s">
        <v>76</v>
      </c>
      <c r="C21" s="28" t="s">
        <v>77</v>
      </c>
      <c r="D21" s="28" t="s">
        <v>78</v>
      </c>
      <c r="E21" s="28" t="s">
        <v>79</v>
      </c>
    </row>
    <row r="22" spans="1:10" s="7" customFormat="1" x14ac:dyDescent="0.35">
      <c r="A22" s="7" t="s">
        <v>80</v>
      </c>
      <c r="B22" s="7" t="s">
        <v>81</v>
      </c>
      <c r="C22" s="24">
        <f>SUM(I6:I15)</f>
        <v>1</v>
      </c>
      <c r="D22" s="7" t="s">
        <v>82</v>
      </c>
      <c r="E22" s="16">
        <v>1</v>
      </c>
    </row>
    <row r="23" spans="1:10" x14ac:dyDescent="0.35">
      <c r="A23" t="s">
        <v>83</v>
      </c>
      <c r="B23" t="s">
        <v>134</v>
      </c>
      <c r="C23" s="23">
        <f>SUM(L6:L15)</f>
        <v>1.9000000000000003E-2</v>
      </c>
      <c r="D23" t="s">
        <v>84</v>
      </c>
      <c r="E23" s="4">
        <f>B_RBC</f>
        <v>0.12</v>
      </c>
    </row>
    <row r="24" spans="1:10" s="7" customFormat="1" x14ac:dyDescent="0.35">
      <c r="A24" s="7" t="s">
        <v>85</v>
      </c>
      <c r="B24" s="7" t="s">
        <v>131</v>
      </c>
      <c r="C24" s="8">
        <f>SUM(M6:M15)</f>
        <v>5.9999998766183822</v>
      </c>
      <c r="D24" s="7" t="s">
        <v>84</v>
      </c>
      <c r="E24" s="16">
        <f>D_L+Epsilon</f>
        <v>8</v>
      </c>
    </row>
    <row r="25" spans="1:10" x14ac:dyDescent="0.35">
      <c r="A25" t="s">
        <v>86</v>
      </c>
      <c r="B25" t="s">
        <v>132</v>
      </c>
      <c r="C25" s="4">
        <f>SUM(M6:M15)</f>
        <v>5.9999998766183822</v>
      </c>
      <c r="D25" t="s">
        <v>87</v>
      </c>
      <c r="E25" s="15">
        <f>D_L-Epsilon</f>
        <v>6</v>
      </c>
    </row>
    <row r="26" spans="1:10" s="7" customFormat="1" x14ac:dyDescent="0.35">
      <c r="A26" s="7" t="s">
        <v>88</v>
      </c>
      <c r="B26" s="7" t="s">
        <v>133</v>
      </c>
      <c r="C26" s="24">
        <f>SUMIF(C6:C15,"BBB",I6:I15)</f>
        <v>0.90000000000000013</v>
      </c>
      <c r="D26" s="7" t="s">
        <v>84</v>
      </c>
      <c r="E26" s="16">
        <f>q_BBB</f>
        <v>0.9</v>
      </c>
    </row>
    <row r="27" spans="1:10" x14ac:dyDescent="0.35">
      <c r="A27" t="s">
        <v>89</v>
      </c>
      <c r="B27" t="s">
        <v>135</v>
      </c>
      <c r="C27" s="23">
        <f>SUMIF(B6:B15,"Financials",I6:I15)</f>
        <v>0</v>
      </c>
      <c r="D27" t="s">
        <v>84</v>
      </c>
      <c r="E27" s="15">
        <f>u_Fin</f>
        <v>0.4</v>
      </c>
    </row>
    <row r="28" spans="1:10" s="7" customFormat="1" x14ac:dyDescent="0.35">
      <c r="A28" s="7" t="s">
        <v>90</v>
      </c>
      <c r="B28" s="7" t="s">
        <v>136</v>
      </c>
      <c r="C28" s="24">
        <f>SUMIF(B6:B15,"Industrials",I6:I15)</f>
        <v>6.3999950647352602E-2</v>
      </c>
      <c r="D28" s="7" t="s">
        <v>84</v>
      </c>
      <c r="E28" s="16">
        <f>u_Ind</f>
        <v>0.4</v>
      </c>
    </row>
    <row r="30" spans="1:10" ht="16" x14ac:dyDescent="0.4">
      <c r="A30" s="18" t="s">
        <v>91</v>
      </c>
    </row>
    <row r="31" spans="1:10" x14ac:dyDescent="0.35">
      <c r="A31" s="1" t="s">
        <v>92</v>
      </c>
      <c r="B31" s="23">
        <f>Objective</f>
        <v>211.72000098705297</v>
      </c>
      <c r="C31" s="6" t="s">
        <v>93</v>
      </c>
    </row>
    <row r="32" spans="1:10" s="7" customFormat="1" x14ac:dyDescent="0.35">
      <c r="A32" s="29" t="s">
        <v>94</v>
      </c>
      <c r="B32" s="24">
        <f>SUM(Weights)</f>
        <v>1</v>
      </c>
      <c r="C32" s="9" t="s">
        <v>95</v>
      </c>
    </row>
    <row r="33" spans="1:3" x14ac:dyDescent="0.35">
      <c r="A33" s="1" t="s">
        <v>96</v>
      </c>
      <c r="B33" s="23">
        <f>SUMPRODUCT(Weights,Bond_Duration)</f>
        <v>5.9999998766183822</v>
      </c>
      <c r="C33" s="6" t="s">
        <v>97</v>
      </c>
    </row>
    <row r="34" spans="1:3" s="7" customFormat="1" x14ac:dyDescent="0.35">
      <c r="A34" s="29" t="s">
        <v>98</v>
      </c>
      <c r="B34" s="24">
        <f>SUMPRODUCT(Weights,Bond_C1)</f>
        <v>1.9000000000000003E-2</v>
      </c>
      <c r="C34" s="9" t="s">
        <v>137</v>
      </c>
    </row>
    <row r="35" spans="1:3" x14ac:dyDescent="0.35">
      <c r="A35" s="1" t="s">
        <v>99</v>
      </c>
      <c r="B35" s="23">
        <f>Con_BBB</f>
        <v>0.90000000000000013</v>
      </c>
      <c r="C35" s="6" t="s">
        <v>138</v>
      </c>
    </row>
    <row r="36" spans="1:3" s="7" customFormat="1" x14ac:dyDescent="0.35">
      <c r="A36" s="29" t="s">
        <v>100</v>
      </c>
      <c r="B36" s="24">
        <f>Con_SectorFin</f>
        <v>0</v>
      </c>
      <c r="C36" s="9" t="s">
        <v>139</v>
      </c>
    </row>
  </sheetData>
  <mergeCells count="1">
    <mergeCell ref="A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Instructions</vt:lpstr>
      <vt:lpstr>Parameters</vt:lpstr>
      <vt:lpstr>Bonds</vt:lpstr>
      <vt:lpstr>Optimizer</vt:lpstr>
      <vt:lpstr>B_RBC</vt:lpstr>
      <vt:lpstr>Beta</vt:lpstr>
      <vt:lpstr>Bond_BA</vt:lpstr>
      <vt:lpstr>Bond_C1</vt:lpstr>
      <vt:lpstr>Bond_Duration</vt:lpstr>
      <vt:lpstr>Bond_GSpread</vt:lpstr>
      <vt:lpstr>Bond_Rating</vt:lpstr>
      <vt:lpstr>Bond_Sector</vt:lpstr>
      <vt:lpstr>Bond_Vol</vt:lpstr>
      <vt:lpstr>Con_BBB</vt:lpstr>
      <vt:lpstr>Con_Budget</vt:lpstr>
      <vt:lpstr>Con_C1_Capital</vt:lpstr>
      <vt:lpstr>Con_DurHi</vt:lpstr>
      <vt:lpstr>Con_DurLo</vt:lpstr>
      <vt:lpstr>Con_SectorFin</vt:lpstr>
      <vt:lpstr>Con_SectorInd</vt:lpstr>
      <vt:lpstr>D_L</vt:lpstr>
      <vt:lpstr>Epsilon</vt:lpstr>
      <vt:lpstr>Gamma</vt:lpstr>
      <vt:lpstr>Objective</vt:lpstr>
      <vt:lpstr>q_BBB</vt:lpstr>
      <vt:lpstr>u_Fin</vt:lpstr>
      <vt:lpstr>u_Ind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Eduardo Tovilla Rivera</dc:creator>
  <cp:lastModifiedBy>José Eduardo Tovilla Rivera</cp:lastModifiedBy>
  <dcterms:created xsi:type="dcterms:W3CDTF">2026-04-11T22:17:07Z</dcterms:created>
  <dcterms:modified xsi:type="dcterms:W3CDTF">2026-04-11T22:34:09Z</dcterms:modified>
</cp:coreProperties>
</file>