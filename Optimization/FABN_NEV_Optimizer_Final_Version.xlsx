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d9cc36b2e7032bd/Desktop/MSADS/Courses/3. Spring 2026/Capstone I/Project/Optimization/"/>
    </mc:Choice>
  </mc:AlternateContent>
  <xr:revisionPtr revIDLastSave="360" documentId="8_{CF0B63C2-A065-46F9-9356-2DCD8AA21909}" xr6:coauthVersionLast="47" xr6:coauthVersionMax="47" xr10:uidLastSave="{A7986E07-3741-4DED-B0EC-F7815AF2A5E4}"/>
  <bookViews>
    <workbookView xWindow="-110" yWindow="-110" windowWidth="25820" windowHeight="15500" activeTab="4" xr2:uid="{00000000-000D-0000-FFFF-FFFF00000000}"/>
  </bookViews>
  <sheets>
    <sheet name="Instructions" sheetId="1" r:id="rId1"/>
    <sheet name="Parameters" sheetId="2" r:id="rId2"/>
    <sheet name="FABN_Liabilities" sheetId="3" r:id="rId3"/>
    <sheet name="Bond_Cashflows" sheetId="4" r:id="rId4"/>
    <sheet name="Optimizer" sheetId="5" r:id="rId5"/>
  </sheets>
  <definedNames>
    <definedName name="Alpha">Parameters!$B$20</definedName>
    <definedName name="BC_HDR">Bond_Cashflows!$A$10</definedName>
    <definedName name="Beta">Parameters!$B$19</definedName>
    <definedName name="C_curr">Parameters!$B$13</definedName>
    <definedName name="C_min">Parameters!$B$14</definedName>
    <definedName name="CF_Gap_Total">Optimizer!$L$51</definedName>
    <definedName name="CF_Surplus">Optimizer!$K$31:$K$50</definedName>
    <definedName name="Con_Budget">Optimizer!$C$55</definedName>
    <definedName name="Con_Convex">Optimizer!$C$59</definedName>
    <definedName name="Con_DurHi">Optimizer!$C$57</definedName>
    <definedName name="Con_DurLo">Optimizer!$C$58</definedName>
    <definedName name="Con_HY">Optimizer!$C$60</definedName>
    <definedName name="Con_Issuer">Optimizer!$C$61</definedName>
    <definedName name="Con_Liquid">Optimizer!$C$62</definedName>
    <definedName name="Con_LongOnly">Optimizer!$C$63</definedName>
    <definedName name="Con_Solvency">Optimizer!$C$56</definedName>
    <definedName name="Conv_FABN">Parameters!$B$8</definedName>
    <definedName name="D_FABN">Parameters!$B$7</definedName>
    <definedName name="Delta">Parameters!$B$25</definedName>
    <definedName name="Eps_D">Parameters!$B$24</definedName>
    <definedName name="Eta">Parameters!$B$27</definedName>
    <definedName name="FABN_Rate">Parameters!$B$6</definedName>
    <definedName name="Gamma">Parameters!$B$18</definedName>
    <definedName name="Kappa">Parameters!$B$28</definedName>
    <definedName name="Lambda">Parameters!$B$21</definedName>
    <definedName name="NEV_Objective">Optimizer!$C$26</definedName>
    <definedName name="NOTIONAL_NR">Parameters!$B$5</definedName>
    <definedName name="Omega">Parameters!$B$26</definedName>
    <definedName name="RBC_bar">Parameters!$B$15</definedName>
    <definedName name="solver_adj" localSheetId="4" hidden="1">Optimizer!$J$6:$J$11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Optimizer!$C$55</definedName>
    <definedName name="solver_lhs2" localSheetId="4" hidden="1">Optimizer!$C$59</definedName>
    <definedName name="solver_lhs3" localSheetId="4" hidden="1">Optimizer!$C$57</definedName>
    <definedName name="solver_lhs4" localSheetId="4" hidden="1">Optimizer!$C$58</definedName>
    <definedName name="solver_lhs5" localSheetId="4" hidden="1">Optimizer!$C$60</definedName>
    <definedName name="solver_lhs6" localSheetId="4" hidden="1">Optimizer!$C$61</definedName>
    <definedName name="solver_lhs7" localSheetId="4" hidden="1">Optimizer!$C$62</definedName>
    <definedName name="solver_lhs8" localSheetId="4" hidden="1">Optimizer!$C$63</definedName>
    <definedName name="solver_lhs9" localSheetId="4" hidden="1">Optimizer!$C$56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9</definedName>
    <definedName name="solver_nwt" localSheetId="4" hidden="1">1</definedName>
    <definedName name="solver_opt" localSheetId="4" hidden="1">Optimizer!$C$26</definedName>
    <definedName name="solver_pre" localSheetId="4" hidden="1">0.000001</definedName>
    <definedName name="solver_rbv" localSheetId="4" hidden="1">1</definedName>
    <definedName name="solver_rel1" localSheetId="4" hidden="1">2</definedName>
    <definedName name="solver_rel2" localSheetId="4" hidden="1">3</definedName>
    <definedName name="solver_rel3" localSheetId="4" hidden="1">1</definedName>
    <definedName name="solver_rel4" localSheetId="4" hidden="1">3</definedName>
    <definedName name="solver_rel5" localSheetId="4" hidden="1">1</definedName>
    <definedName name="solver_rel6" localSheetId="4" hidden="1">1</definedName>
    <definedName name="solver_rel7" localSheetId="4" hidden="1">3</definedName>
    <definedName name="solver_rel8" localSheetId="4" hidden="1">3</definedName>
    <definedName name="solver_rel9" localSheetId="4" hidden="1">3</definedName>
    <definedName name="solver_rhs1" localSheetId="4" hidden="1">Optimizer!$E$55</definedName>
    <definedName name="solver_rhs2" localSheetId="4" hidden="1">Optimizer!$E$59</definedName>
    <definedName name="solver_rhs3" localSheetId="4" hidden="1">Optimizer!$E$57</definedName>
    <definedName name="solver_rhs4" localSheetId="4" hidden="1">Optimizer!$E$58</definedName>
    <definedName name="solver_rhs5" localSheetId="4" hidden="1">Optimizer!$E$60</definedName>
    <definedName name="solver_rhs6" localSheetId="4" hidden="1">Optimizer!$E$61</definedName>
    <definedName name="solver_rhs7" localSheetId="4" hidden="1">Optimizer!$E$62</definedName>
    <definedName name="solver_rhs8" localSheetId="4" hidden="1">Optimizer!$E$63</definedName>
    <definedName name="solver_rhs9" localSheetId="4" hidden="1">Optimizer!$E$56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  <definedName name="w_CS">Parameters!$B$34</definedName>
    <definedName name="w_MOM">Parameters!$B$33</definedName>
    <definedName name="w_MR">Parameters!$B$32</definedName>
    <definedName name="w_YC">Parameters!$B$31</definedName>
    <definedName name="Weights_h">Optimizer!$J$6:$J$11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5" l="1"/>
  <c r="C22" i="5" s="1"/>
  <c r="C20" i="5"/>
  <c r="B78" i="5"/>
  <c r="B77" i="5"/>
  <c r="B76" i="5"/>
  <c r="B75" i="5"/>
  <c r="B74" i="5"/>
  <c r="B73" i="5"/>
  <c r="C63" i="5"/>
  <c r="F63" i="5" s="1"/>
  <c r="E62" i="5"/>
  <c r="C62" i="5"/>
  <c r="F62" i="5" s="1"/>
  <c r="E61" i="5"/>
  <c r="C61" i="5"/>
  <c r="F61" i="5" s="1"/>
  <c r="E60" i="5"/>
  <c r="C60" i="5"/>
  <c r="F60" i="5" s="1"/>
  <c r="E59" i="5"/>
  <c r="C59" i="5"/>
  <c r="F59" i="5" s="1"/>
  <c r="E58" i="5"/>
  <c r="C58" i="5"/>
  <c r="F58" i="5" s="1"/>
  <c r="E57" i="5"/>
  <c r="C57" i="5"/>
  <c r="F57" i="5" s="1"/>
  <c r="E56" i="5"/>
  <c r="C56" i="5"/>
  <c r="F56" i="5" s="1"/>
  <c r="E55" i="5"/>
  <c r="C55" i="5"/>
  <c r="F55" i="5" s="1"/>
  <c r="I50" i="5"/>
  <c r="H50" i="5"/>
  <c r="G50" i="5"/>
  <c r="F50" i="5"/>
  <c r="E50" i="5"/>
  <c r="D50" i="5"/>
  <c r="C50" i="5"/>
  <c r="I49" i="5"/>
  <c r="H49" i="5"/>
  <c r="G49" i="5"/>
  <c r="F49" i="5"/>
  <c r="E49" i="5"/>
  <c r="D49" i="5"/>
  <c r="C49" i="5"/>
  <c r="I48" i="5"/>
  <c r="H48" i="5"/>
  <c r="G48" i="5"/>
  <c r="F48" i="5"/>
  <c r="E48" i="5"/>
  <c r="D48" i="5"/>
  <c r="C48" i="5"/>
  <c r="I47" i="5"/>
  <c r="H47" i="5"/>
  <c r="G47" i="5"/>
  <c r="F47" i="5"/>
  <c r="E47" i="5"/>
  <c r="D47" i="5"/>
  <c r="C47" i="5"/>
  <c r="I46" i="5"/>
  <c r="H46" i="5"/>
  <c r="G46" i="5"/>
  <c r="F46" i="5"/>
  <c r="E46" i="5"/>
  <c r="D46" i="5"/>
  <c r="C46" i="5"/>
  <c r="I45" i="5"/>
  <c r="H45" i="5"/>
  <c r="G45" i="5"/>
  <c r="F45" i="5"/>
  <c r="E45" i="5"/>
  <c r="D45" i="5"/>
  <c r="C45" i="5"/>
  <c r="I44" i="5"/>
  <c r="H44" i="5"/>
  <c r="G44" i="5"/>
  <c r="F44" i="5"/>
  <c r="E44" i="5"/>
  <c r="D44" i="5"/>
  <c r="C44" i="5"/>
  <c r="I43" i="5"/>
  <c r="H43" i="5"/>
  <c r="G43" i="5"/>
  <c r="F43" i="5"/>
  <c r="E43" i="5"/>
  <c r="D43" i="5"/>
  <c r="C43" i="5"/>
  <c r="I42" i="5"/>
  <c r="H42" i="5"/>
  <c r="G42" i="5"/>
  <c r="F42" i="5"/>
  <c r="E42" i="5"/>
  <c r="D42" i="5"/>
  <c r="C42" i="5"/>
  <c r="I41" i="5"/>
  <c r="H41" i="5"/>
  <c r="G41" i="5"/>
  <c r="F41" i="5"/>
  <c r="E41" i="5"/>
  <c r="D41" i="5"/>
  <c r="C41" i="5"/>
  <c r="I40" i="5"/>
  <c r="H40" i="5"/>
  <c r="G40" i="5"/>
  <c r="F40" i="5"/>
  <c r="E40" i="5"/>
  <c r="D40" i="5"/>
  <c r="C40" i="5"/>
  <c r="I39" i="5"/>
  <c r="H39" i="5"/>
  <c r="G39" i="5"/>
  <c r="F39" i="5"/>
  <c r="E39" i="5"/>
  <c r="D39" i="5"/>
  <c r="C39" i="5"/>
  <c r="I38" i="5"/>
  <c r="H38" i="5"/>
  <c r="G38" i="5"/>
  <c r="F38" i="5"/>
  <c r="E38" i="5"/>
  <c r="D38" i="5"/>
  <c r="C38" i="5"/>
  <c r="I37" i="5"/>
  <c r="H37" i="5"/>
  <c r="G37" i="5"/>
  <c r="F37" i="5"/>
  <c r="E37" i="5"/>
  <c r="D37" i="5"/>
  <c r="C37" i="5"/>
  <c r="I36" i="5"/>
  <c r="H36" i="5"/>
  <c r="G36" i="5"/>
  <c r="F36" i="5"/>
  <c r="E36" i="5"/>
  <c r="D36" i="5"/>
  <c r="C36" i="5"/>
  <c r="I35" i="5"/>
  <c r="H35" i="5"/>
  <c r="G35" i="5"/>
  <c r="F35" i="5"/>
  <c r="E35" i="5"/>
  <c r="D35" i="5"/>
  <c r="C35" i="5"/>
  <c r="C51" i="5" s="1"/>
  <c r="I34" i="5"/>
  <c r="H34" i="5"/>
  <c r="G34" i="5"/>
  <c r="F34" i="5"/>
  <c r="E34" i="5"/>
  <c r="D34" i="5"/>
  <c r="C34" i="5"/>
  <c r="I33" i="5"/>
  <c r="H33" i="5"/>
  <c r="G33" i="5"/>
  <c r="F33" i="5"/>
  <c r="E33" i="5"/>
  <c r="D33" i="5"/>
  <c r="C33" i="5"/>
  <c r="I32" i="5"/>
  <c r="H32" i="5"/>
  <c r="G32" i="5"/>
  <c r="F32" i="5"/>
  <c r="E32" i="5"/>
  <c r="D32" i="5"/>
  <c r="C32" i="5"/>
  <c r="I31" i="5"/>
  <c r="H31" i="5"/>
  <c r="G31" i="5"/>
  <c r="F31" i="5"/>
  <c r="E31" i="5"/>
  <c r="D31" i="5"/>
  <c r="C31" i="5"/>
  <c r="B80" i="5" s="1"/>
  <c r="C23" i="5"/>
  <c r="B71" i="5" s="1"/>
  <c r="C17" i="5"/>
  <c r="C16" i="5"/>
  <c r="C15" i="5"/>
  <c r="O11" i="5"/>
  <c r="P11" i="5" s="1"/>
  <c r="O10" i="5"/>
  <c r="P10" i="5" s="1"/>
  <c r="O9" i="5"/>
  <c r="P9" i="5" s="1"/>
  <c r="O8" i="5"/>
  <c r="P8" i="5" s="1"/>
  <c r="O7" i="5"/>
  <c r="P7" i="5" s="1"/>
  <c r="O6" i="5"/>
  <c r="P6" i="5" s="1"/>
  <c r="E64" i="3"/>
  <c r="C64" i="3"/>
  <c r="J43" i="5" l="1"/>
  <c r="L43" i="5" s="1"/>
  <c r="J32" i="5"/>
  <c r="L32" i="5" s="1"/>
  <c r="J48" i="5"/>
  <c r="L48" i="5" s="1"/>
  <c r="B70" i="5"/>
  <c r="J36" i="5"/>
  <c r="K36" i="5" s="1"/>
  <c r="J37" i="5"/>
  <c r="L37" i="5" s="1"/>
  <c r="J35" i="5"/>
  <c r="L35" i="5" s="1"/>
  <c r="J40" i="5"/>
  <c r="L40" i="5" s="1"/>
  <c r="J47" i="5"/>
  <c r="L47" i="5" s="1"/>
  <c r="J45" i="5"/>
  <c r="L45" i="5" s="1"/>
  <c r="J39" i="5"/>
  <c r="L39" i="5" s="1"/>
  <c r="J41" i="5"/>
  <c r="L41" i="5" s="1"/>
  <c r="J34" i="5"/>
  <c r="L34" i="5" s="1"/>
  <c r="J46" i="5"/>
  <c r="K46" i="5" s="1"/>
  <c r="J50" i="5"/>
  <c r="K50" i="5" s="1"/>
  <c r="J44" i="5"/>
  <c r="L44" i="5" s="1"/>
  <c r="J31" i="5"/>
  <c r="K31" i="5" s="1"/>
  <c r="J33" i="5"/>
  <c r="L33" i="5" s="1"/>
  <c r="J49" i="5"/>
  <c r="K49" i="5" s="1"/>
  <c r="J38" i="5"/>
  <c r="L38" i="5" s="1"/>
  <c r="J42" i="5"/>
  <c r="L42" i="5" s="1"/>
  <c r="C19" i="5"/>
  <c r="K43" i="5" l="1"/>
  <c r="K48" i="5"/>
  <c r="K32" i="5"/>
  <c r="K41" i="5"/>
  <c r="L46" i="5"/>
  <c r="K34" i="5"/>
  <c r="K39" i="5"/>
  <c r="L50" i="5"/>
  <c r="K45" i="5"/>
  <c r="L36" i="5"/>
  <c r="K47" i="5"/>
  <c r="K37" i="5"/>
  <c r="K35" i="5"/>
  <c r="L49" i="5"/>
  <c r="K40" i="5"/>
  <c r="K38" i="5"/>
  <c r="K33" i="5"/>
  <c r="L31" i="5"/>
  <c r="J51" i="5"/>
  <c r="B79" i="5"/>
  <c r="K42" i="5"/>
  <c r="K44" i="5"/>
  <c r="B69" i="5"/>
  <c r="B81" i="5" l="1"/>
  <c r="K51" i="5"/>
  <c r="C24" i="5"/>
  <c r="C26" i="5" s="1"/>
  <c r="B68" i="5" s="1"/>
  <c r="L51" i="5"/>
  <c r="B72" i="5" l="1"/>
</calcChain>
</file>

<file path=xl/sharedStrings.xml><?xml version="1.0" encoding="utf-8"?>
<sst xmlns="http://schemas.openxmlformats.org/spreadsheetml/2006/main" count="295" uniqueCount="244">
  <si>
    <t>FABN Bond Portfolio Optimizer  –  NEV / RBC ALM Framework</t>
  </si>
  <si>
    <t>OVERVIEW</t>
  </si>
  <si>
    <t xml:space="preserve">  This workbook maximizes the Net Economic Value (NEV) of a FABN funding-agreement strategy.</t>
  </si>
  <si>
    <t xml:space="preserve">  The optimizer allocates capital h_i ($) across bonds to:</t>
  </si>
  <si>
    <t xml:space="preserve">    •  Maximize spread income adjusted for market signals (Signal-enhanced Score)</t>
  </si>
  <si>
    <t xml:space="preserve">    •  Minimize regulatory capital costs (C-1 credit risk + C-3 ALM mismatch)</t>
  </si>
  <si>
    <t xml:space="preserve">    •  Penalize rebalancing frictions (transaction costs)</t>
  </si>
  <si>
    <t xml:space="preserve">    •  Minimize asset-liability cash flow mismatches over the 5-year horizon</t>
  </si>
  <si>
    <t>OBJECTIVE FUNCTION  (green cell L39)</t>
  </si>
  <si>
    <t xml:space="preserve">  max  NEV  =  Σ Score_i · h_i  −  γ·(C1 + C3)  −  Σ τ_i·|h_i − h^curr|  −  λ·CFGap</t>
  </si>
  <si>
    <t xml:space="preserve">  where  Score_i  =  (y_i − r^FABN)  +  β · Signal_i</t>
  </si>
  <si>
    <t xml:space="preserve">  and    Signal_i  =  w_YC·YC_i  +  w_MR·MR_i  +  w_MOM·MOM_i  +  w_CS·CS_i</t>
  </si>
  <si>
    <t xml:space="preserve">  and    C1 = Σ θ_i·h_i,   C3 = α·|D_avg − D^FABN|·H,   CFGap = Σ_t |CF_A_t − CF_L_t|</t>
  </si>
  <si>
    <t>SHEETS</t>
  </si>
  <si>
    <t xml:space="preserve">  Instructions       – This guide</t>
  </si>
  <si>
    <t xml:space="preserve">  Parameters         – Edit all model parameters and signal weights here</t>
  </si>
  <si>
    <t xml:space="preserve">  FABN_Liabilities   – Monthly liability cash flow schedule ($ per period)</t>
  </si>
  <si>
    <t xml:space="preserve">  Bond_Cashflows     – Per-$1 bond CF matrix (rows=months, cols=bonds+FABN)</t>
  </si>
  <si>
    <t xml:space="preserve">  Optimizer          – Main sheet: h_i allocation + signals + NEV + constraints</t>
  </si>
  <si>
    <t>STEP 1  –  Enable Solver (one-time)</t>
  </si>
  <si>
    <t xml:space="preserve">  File &gt; Options &gt; Add-ins &gt; Manage: Excel Add-ins &gt; Go &gt; check  Solver Add-in</t>
  </si>
  <si>
    <t>STEP 2  –  Open Solver</t>
  </si>
  <si>
    <t xml:space="preserve">  Go to the Optimizer sheet, then  Data tab &gt; Solver</t>
  </si>
  <si>
    <t>STEP 3  –  Configure Solver</t>
  </si>
  <si>
    <t xml:space="preserve">  Set Objective  :  Optimizer!$L$39   (green NEV cell)   →  Max</t>
  </si>
  <si>
    <t xml:space="preserve">  By Changing    :  Optimizer!$J$6:$J$11   (yellow h_i cells)</t>
  </si>
  <si>
    <t xml:space="preserve">  Solving Method :  GRG Nonlinear  (needed for ABS in C3, txn costs, CF gap)</t>
  </si>
  <si>
    <t>STEP 4  –  Add Constraints  (click Add for each)</t>
  </si>
  <si>
    <t xml:space="preserve">  $C$42  =  $E$42                        (budget:  Σ h_i = H)</t>
  </si>
  <si>
    <t xml:space="preserve">  $J$6:$J$11  &gt;=  0                      (long-only: no short positions)</t>
  </si>
  <si>
    <t xml:space="preserve">  $C$43  &gt;=  $E$43                        (solvency: RBC ratio ≥ RBC_bar)</t>
  </si>
  <si>
    <t xml:space="preserve">  $C$44  &lt;=  $E$44                        (duration upper:  D_avg ≤ D_FABN + ε_D)</t>
  </si>
  <si>
    <t xml:space="preserve">  $C$44  &gt;=  $E$45                        (duration lower:  D_avg ≥ D_FABN − ε_D)</t>
  </si>
  <si>
    <t xml:space="preserve">  $C$46  &gt;=  $E$46                        (convexity buffer)</t>
  </si>
  <si>
    <t xml:space="preserve">  $C$47  &lt;=  $E$47                        (HY cap: Σ h_i[HY] ≤ ω·H)</t>
  </si>
  <si>
    <t xml:space="preserve">  $C$48  &lt;=  $E$48                        (issuer concentration ≤ η·H  per issuer)</t>
  </si>
  <si>
    <t xml:space="preserve">  $C$49  &gt;=  $E$49                        (liquidity: Σ h_i[liquid] ≥ κ·H)</t>
  </si>
  <si>
    <t>STEP 5  –  Click Solve, then Accept Solution</t>
  </si>
  <si>
    <t xml:space="preserve">  Yellow h_i cells update. Review NEV breakdown (Section B) and Dashboard (Section E).</t>
  </si>
  <si>
    <t>SCENARIO ANALYSIS</t>
  </si>
  <si>
    <t xml:space="preserve">  Change β, γ, α, λ, or signal weights in Parameters sheet, then re-run Solver.</t>
  </si>
  <si>
    <t xml:space="preserve">  Change signal values (yellow) in Optimizer Section A to test different market views.</t>
  </si>
  <si>
    <t xml:space="preserve">  Issuer concentration constraint (C48) uses the most concentrated issuer — add per-issuer</t>
  </si>
  <si>
    <t xml:space="preserve">  rows manually in Solver if needed for a strict per-issuer cap.</t>
  </si>
  <si>
    <t>FABN + Bond Portfolio Optimizer  –  Model Parameters</t>
  </si>
  <si>
    <t>Parameter</t>
  </si>
  <si>
    <t>Value</t>
  </si>
  <si>
    <t>Description</t>
  </si>
  <si>
    <t>── FABN / Liability ──</t>
  </si>
  <si>
    <t>FABN Notional H ($)</t>
  </si>
  <si>
    <t>Total capital allocated to bond portfolio</t>
  </si>
  <si>
    <t>FABN Crediting Rate  r^FABN</t>
  </si>
  <si>
    <t>Annual rate paid to FABN investors</t>
  </si>
  <si>
    <t>FABN Duration  D^FABN (yrs)</t>
  </si>
  <si>
    <t>Modified duration of liability</t>
  </si>
  <si>
    <t>FABN Convexity  Conv^FABN</t>
  </si>
  <si>
    <t>Liability convexity</t>
  </si>
  <si>
    <t>Payment Frequency</t>
  </si>
  <si>
    <t>Quarterly (every 3 mo.)</t>
  </si>
  <si>
    <t>Maturity (months)</t>
  </si>
  <si>
    <t>60 months = 5 years</t>
  </si>
  <si>
    <t>Simulation Horizon (mo)</t>
  </si>
  <si>
    <t>Start Date</t>
  </si>
  <si>
    <t>Current Capital  C^curr ($)</t>
  </si>
  <si>
    <t>Regulatory capital available today</t>
  </si>
  <si>
    <t>Minimum Capital  C^min ($)</t>
  </si>
  <si>
    <t>RBC minimum capital threshold</t>
  </si>
  <si>
    <t>Minimum RBC Ratio  RBC_bar</t>
  </si>
  <si>
    <t>Solvency constraint floor</t>
  </si>
  <si>
    <t>── NEV Penalty / Model Weights ──</t>
  </si>
  <si>
    <t>Gamma  γ – Capital cost weight</t>
  </si>
  <si>
    <t>Penalizes C1 + C3 regulatory capital cost</t>
  </si>
  <si>
    <t>Beta   β – Signal impact weight</t>
  </si>
  <si>
    <t>Scales market signal into Score_i</t>
  </si>
  <si>
    <t>Alpha  α – C3 ALM scaling</t>
  </si>
  <si>
    <t>Scales duration mismatch into C3 penalty</t>
  </si>
  <si>
    <t>Lambda λ – CF gap penalty</t>
  </si>
  <si>
    <t>Penalizes asset–liability CF mismatch</t>
  </si>
  <si>
    <t>── Constraint Limits ──</t>
  </si>
  <si>
    <t>Epsilon  ε_D – Duration tolerance (yrs)</t>
  </si>
  <si>
    <t>Max |D_avg − D^FABN| allowed  (band: [4.75, 6.25] yrs)</t>
  </si>
  <si>
    <t>Delta    δ  – Convexity buffer (above L)</t>
  </si>
  <si>
    <t>Conv_avg ≥ Conv^FABN × (1+δ) = 33.99</t>
  </si>
  <si>
    <t>Omega    ω  – Max HY allocation</t>
  </si>
  <si>
    <t>Cap on high-yield bond allocation</t>
  </si>
  <si>
    <t>Eta      η  – Max issuer concentration</t>
  </si>
  <si>
    <t>Cap on any single issuer's allocation</t>
  </si>
  <si>
    <t>Kappa    κ  – Min liquid allocation</t>
  </si>
  <si>
    <t>Floor on liquid bond allocation</t>
  </si>
  <si>
    <t>── Signal Weights  (sum = 1.00) ──</t>
  </si>
  <si>
    <t>w_YC  – Yield Curve weight</t>
  </si>
  <si>
    <t>Bond cheap vs. interpolated Treasury curve</t>
  </si>
  <si>
    <t>w_MR  – Mean Reversion weight</t>
  </si>
  <si>
    <t>OAS wide vs. 12-month historical average</t>
  </si>
  <si>
    <t>w_MOM – Momentum weight</t>
  </si>
  <si>
    <t>Recent total-return trend (z-score)</t>
  </si>
  <si>
    <t>w_CS  – Capital Structure weight</t>
  </si>
  <si>
    <t>Bond cheap vs. equity-implied credit spread</t>
  </si>
  <si>
    <t>FABN Liabilities  –  Monthly Cash Flow Schedule</t>
  </si>
  <si>
    <t>Month</t>
  </si>
  <si>
    <t>Date</t>
  </si>
  <si>
    <t>Quarterly Coupon ($)</t>
  </si>
  <si>
    <t>Principal ($)</t>
  </si>
  <si>
    <t>Total CF ($)</t>
  </si>
  <si>
    <t>Cumulative CF ($)</t>
  </si>
  <si>
    <t>TOTAL</t>
  </si>
  <si>
    <t>Bond + FABN Cash Flow Matrix  –  Per $1 Invested / Per $1 Notional</t>
  </si>
  <si>
    <t>Annual Coupon</t>
  </si>
  <si>
    <t>Freq (mo)</t>
  </si>
  <si>
    <t>1st Pmt Mo</t>
  </si>
  <si>
    <t>Maturity Mo</t>
  </si>
  <si>
    <t>Rating</t>
  </si>
  <si>
    <t>AA</t>
  </si>
  <si>
    <t>A</t>
  </si>
  <si>
    <t>BBB</t>
  </si>
  <si>
    <t>BB</t>
  </si>
  <si>
    <t>N/A</t>
  </si>
  <si>
    <t>Yield y_i</t>
  </si>
  <si>
    <t>C1 Factor θ</t>
  </si>
  <si>
    <t>—</t>
  </si>
  <si>
    <t>Txn Cost τ</t>
  </si>
  <si>
    <t>B01 AA-Fin 5.2%</t>
  </si>
  <si>
    <t>B02 AA-Govt 5.1%</t>
  </si>
  <si>
    <t>B03 A-Ind 5.5%</t>
  </si>
  <si>
    <t>B04 A-Engy 5.75%</t>
  </si>
  <si>
    <t>B05 BBB-Corp 6.2%</t>
  </si>
  <si>
    <t>B06 BB-HY 7.0%</t>
  </si>
  <si>
    <t>FABN (Liability)
per $1</t>
  </si>
  <si>
    <t>A.  Bond Allocation  |  Signal Inputs  (yellow = Solver / editable)</t>
  </si>
  <si>
    <t>Bond</t>
  </si>
  <si>
    <t>Issuer</t>
  </si>
  <si>
    <t>Yield
y_i</t>
  </si>
  <si>
    <t>Duration
D_i</t>
  </si>
  <si>
    <t>Convexity
Conv_i</t>
  </si>
  <si>
    <t>C1 Factor
θ_i</t>
  </si>
  <si>
    <t>Txn Cost
τ_i</t>
  </si>
  <si>
    <t>h_i^curr
($)</t>
  </si>
  <si>
    <t>h_i  ($)
← PYTHON OPT</t>
  </si>
  <si>
    <t>YC
Signal</t>
  </si>
  <si>
    <t>MR
Signal</t>
  </si>
  <si>
    <t>MOM
Signal</t>
  </si>
  <si>
    <t>CS
Signal</t>
  </si>
  <si>
    <t>Composite
Signal_i</t>
  </si>
  <si>
    <t>Score_i
(y−r)+β·Sig</t>
  </si>
  <si>
    <t>Liquid?</t>
  </si>
  <si>
    <t>HY?</t>
  </si>
  <si>
    <t>(%)</t>
  </si>
  <si>
    <t>(yrs)</t>
  </si>
  <si>
    <t/>
  </si>
  <si>
    <t>($)</t>
  </si>
  <si>
    <t>Alpha</t>
  </si>
  <si>
    <t>Y</t>
  </si>
  <si>
    <t>N</t>
  </si>
  <si>
    <t>Beta</t>
  </si>
  <si>
    <t>Gamma</t>
  </si>
  <si>
    <t>Delta</t>
  </si>
  <si>
    <t>Epsilon</t>
  </si>
  <si>
    <t>Zeta</t>
  </si>
  <si>
    <t>B.  NEV Objective Breakdown  (updates live as h_i or signals change)</t>
  </si>
  <si>
    <t>H  (total capital)</t>
  </si>
  <si>
    <t>Σ h_i  — should equal NOTIONAL_NR</t>
  </si>
  <si>
    <t>Weighted-avg Duration  D_avg</t>
  </si>
  <si>
    <t>Σ D_i·h_i / H</t>
  </si>
  <si>
    <t>Weighted-avg Convexity</t>
  </si>
  <si>
    <t>Σ Conv_i·h_i / H</t>
  </si>
  <si>
    <t>─────────────────────────────</t>
  </si>
  <si>
    <t>(1)  Spread Income</t>
  </si>
  <si>
    <t>Σ Score_i · h_i</t>
  </si>
  <si>
    <t>(2)  C1 Cost  =  Σ θ_i · h_i</t>
  </si>
  <si>
    <t>Regulatory C-1 capital charge</t>
  </si>
  <si>
    <t>(3)  C3 Cost  =  α·|D_avg − D^FABN|·H</t>
  </si>
  <si>
    <t>C-3 duration mismatch charge (non-linear)</t>
  </si>
  <si>
    <t>(4)  Capital Cost  =  γ·(C1 + C3)</t>
  </si>
  <si>
    <t>RBC capital penalty on portfolio</t>
  </si>
  <si>
    <t>(5)  Transaction Costs  =  Σ τ_i·|h_i − h^curr|</t>
  </si>
  <si>
    <t>Rebalancing frictions (non-linear)</t>
  </si>
  <si>
    <t>(6)  CF Gap  =  Σ_t |CF_A_t − CF_L_t|</t>
  </si>
  <si>
    <t>Sum of quarterly |asset CF − FABN CF|  (→ see Section C)</t>
  </si>
  <si>
    <t>NET ECONOMIC VALUE  =  (1) − (4) − (5) − λ·(6)</t>
  </si>
  <si>
    <t>← SOLVER OBJECTIVE (maximize this cell)</t>
  </si>
  <si>
    <t>C.  Cash Flow Comparison  –  FABN Liability vs. Asset Portfolio  (quarterly, $)</t>
  </si>
  <si>
    <t>Asset CF_t(h) = Σ CF_{i,t} · h_i   |   Liability CF_t = FABN quarterly payment   |   Surplus = Asset − Liability   |   |Gap| feeds into CF Gap penalty</t>
  </si>
  <si>
    <t>FABN CF $
[Liability]</t>
  </si>
  <si>
    <t>Total Asset CF $</t>
  </si>
  <si>
    <t>Surplus $</t>
  </si>
  <si>
    <t>|Asset−Liab| $</t>
  </si>
  <si>
    <t>D.  Constraints  (Solver reads col C; limit in col E)</t>
  </si>
  <si>
    <t>#</t>
  </si>
  <si>
    <t>Constraint</t>
  </si>
  <si>
    <t>Current Value</t>
  </si>
  <si>
    <t>Sense</t>
  </si>
  <si>
    <t>Limit / Bound</t>
  </si>
  <si>
    <t>Status</t>
  </si>
  <si>
    <t>C1 – Budget</t>
  </si>
  <si>
    <t>=</t>
  </si>
  <si>
    <t>Σ h_i = H = $100,000  (fully invested)</t>
  </si>
  <si>
    <t>C2 – Solvency  (RBC)</t>
  </si>
  <si>
    <t>&gt;=</t>
  </si>
  <si>
    <t>(C^curr + Σ(y_i−r^FABN)·h_i) / C^min ≥ RBC_bar</t>
  </si>
  <si>
    <t>C3a – Duration  (upper)</t>
  </si>
  <si>
    <t>&lt;=</t>
  </si>
  <si>
    <t>D_avg ≤ D^FABN + ε_D</t>
  </si>
  <si>
    <t>C3b – Duration  (lower)</t>
  </si>
  <si>
    <t>D_avg ≥ D^FABN − ε_D</t>
  </si>
  <si>
    <t>C4 – Convexity Buffer</t>
  </si>
  <si>
    <t>Conv_avg ≥ Conv^FABN·(1+δ)</t>
  </si>
  <si>
    <t>C5 – HY Cap</t>
  </si>
  <si>
    <t>Σ h_i [HY] / H ≤ ω</t>
  </si>
  <si>
    <t>C6 – Issuer Concentration</t>
  </si>
  <si>
    <t>max issuer Σ h_i / H ≤ η  (per-issuer MAX)</t>
  </si>
  <si>
    <t>C7 – Liquidity Floor</t>
  </si>
  <si>
    <t>Σ h_i [liquid] / H ≥ κ</t>
  </si>
  <si>
    <t>C8 – Long-Only</t>
  </si>
  <si>
    <t>h_i ≥ 0  ∀i  (no short positions)</t>
  </si>
  <si>
    <t>E.  Quick Dashboard  (updates live)</t>
  </si>
  <si>
    <t>Metric</t>
  </si>
  <si>
    <t>Target / Note</t>
  </si>
  <si>
    <t>NET ECONOMIC VALUE ($)</t>
  </si>
  <si>
    <t>Maximize — Solver objective</t>
  </si>
  <si>
    <t>Spread Income</t>
  </si>
  <si>
    <t>Capital Cost γ·(C1+C3)</t>
  </si>
  <si>
    <t>Should be low relative to spread</t>
  </si>
  <si>
    <t>Transaction Costs</t>
  </si>
  <si>
    <t>Rebalancing friction</t>
  </si>
  <si>
    <t>CF Gap Penalty  λ·CFGap</t>
  </si>
  <si>
    <t>λ × Σ|asset CF − FABN CF|</t>
  </si>
  <si>
    <t>Total Capital H ($)</t>
  </si>
  <si>
    <t>Must equal NOTIONAL_NR = $100,000</t>
  </si>
  <si>
    <t>Portfolio Avg Duration</t>
  </si>
  <si>
    <t>Target: D^FABN ± ε_D  (5.50 ± 0.75)</t>
  </si>
  <si>
    <t>Portfolio Avg Convexity</t>
  </si>
  <si>
    <t>Must be ≥ Conv^FABN·(1+δ) = 34.0</t>
  </si>
  <si>
    <t>RBC C1 Usage</t>
  </si>
  <si>
    <t>Regulatory credit capital charge</t>
  </si>
  <si>
    <t>HY Allocation %</t>
  </si>
  <si>
    <t>Must be ≤ ω = 20%</t>
  </si>
  <si>
    <t>Liquid Allocation %</t>
  </si>
  <si>
    <t>Must be ≥ κ = 35%</t>
  </si>
  <si>
    <t>Total Asset CF ($)</t>
  </si>
  <si>
    <t>Total cash from bonds over horizon</t>
  </si>
  <si>
    <t>Total FABN CF ($)</t>
  </si>
  <si>
    <t>Total cash owed to FABN investors</t>
  </si>
  <si>
    <t>Net Surplus/(Deficit) ($)</t>
  </si>
  <si>
    <t>Positive = assets cover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</si>
</sst>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"/>
    <numFmt numFmtId="165" formatCode="0.0"/>
    <numFmt numFmtId="166" formatCode="mmm\-yyyy"/>
    <numFmt numFmtId="167" formatCode="0.00\x"/>
    <numFmt numFmtId="168" formatCode="0.000"/>
    <numFmt numFmtId="169" formatCode="0.0000%"/>
    <numFmt numFmtId="170" formatCode="0.00000"/>
    <numFmt numFmtId="171" formatCode="0.000%"/>
    <numFmt numFmtId="172" formatCode="\+0.00;\-0.00"/>
    <numFmt numFmtId="173" formatCode="\+0.000;\-0.000"/>
    <numFmt numFmtId="174" formatCode="\+0.00%;\-0.00%"/>
    <numFmt numFmtId="175" formatCode="\$#,##0.00"/>
    <numFmt numFmtId="176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color rgb="FF1F497D"/>
      <name val="Calibri"/>
      <family val="2"/>
    </font>
    <font>
      <sz val="10"/>
      <color rgb="FF000000"/>
      <name val="Calibri"/>
      <family val="2"/>
    </font>
    <font>
      <b/>
      <sz val="14"/>
      <color rgb="FF1F497D"/>
      <name val="Calibri"/>
      <family val="2"/>
    </font>
    <font>
      <b/>
      <sz val="9"/>
      <color rgb="FFFFFFFF"/>
      <name val="Calibri"/>
      <family val="2"/>
    </font>
    <font>
      <b/>
      <sz val="10"/>
      <color rgb="FF1F497D"/>
      <name val="Calibri"/>
      <family val="2"/>
    </font>
    <font>
      <i/>
      <sz val="10"/>
      <color rgb="FF595959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9"/>
      <color rgb="FF000000"/>
      <name val="Calibri"/>
      <family val="2"/>
    </font>
    <font>
      <i/>
      <sz val="8"/>
      <color rgb="FF595959"/>
      <name val="Calibri"/>
      <family val="2"/>
    </font>
    <font>
      <b/>
      <sz val="13"/>
      <color rgb="FFFFFFFF"/>
      <name val="Calibri"/>
      <family val="2"/>
    </font>
    <font>
      <b/>
      <i/>
      <sz val="10"/>
      <color rgb="FFFFC000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i/>
      <sz val="10"/>
      <color rgb="FFFFFFFF"/>
      <name val="Calibri"/>
      <family val="2"/>
    </font>
    <font>
      <i/>
      <sz val="10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BF1FA"/>
        <bgColor rgb="FFEBF1FA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FFE4C8"/>
        <bgColor rgb="FFFFE4C8"/>
      </patternFill>
    </fill>
    <fill>
      <patternFill patternType="solid">
        <fgColor rgb="FFFFA500"/>
        <bgColor rgb="FFFFA500"/>
      </patternFill>
    </fill>
    <fill>
      <patternFill patternType="solid">
        <fgColor rgb="FF4472C4"/>
        <bgColor rgb="FF4472C4"/>
      </patternFill>
    </fill>
    <fill>
      <patternFill patternType="solid">
        <fgColor rgb="FFFFE8D0"/>
        <bgColor rgb="FFFFE8D0"/>
      </patternFill>
    </fill>
    <fill>
      <patternFill patternType="solid">
        <fgColor rgb="FFFFC880"/>
        <bgColor rgb="FFFFC880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843C0C"/>
        <bgColor rgb="FF843C0C"/>
      </patternFill>
    </fill>
    <fill>
      <patternFill patternType="solid">
        <fgColor rgb="FF00B050"/>
        <bgColor rgb="FF00B05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99"/>
        <bgColor rgb="FFFFFF99"/>
      </patternFill>
    </fill>
    <fill>
      <patternFill patternType="solid">
        <fgColor rgb="FFFFD7D7"/>
        <bgColor rgb="FFFFD7D7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FFDC82"/>
        <bgColor rgb="FFFFDC82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0" fontId="3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right" vertical="center"/>
    </xf>
    <xf numFmtId="9" fontId="3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0" fillId="5" borderId="0" xfId="0" applyFill="1"/>
    <xf numFmtId="164" fontId="9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6" borderId="0" xfId="0" applyFill="1"/>
    <xf numFmtId="0" fontId="3" fillId="10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170" fontId="3" fillId="10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166" fontId="3" fillId="11" borderId="1" xfId="0" applyNumberFormat="1" applyFont="1" applyFill="1" applyBorder="1" applyAlignment="1">
      <alignment horizontal="center" vertical="center"/>
    </xf>
    <xf numFmtId="170" fontId="3" fillId="11" borderId="1" xfId="0" applyNumberFormat="1" applyFont="1" applyFill="1" applyBorder="1" applyAlignment="1">
      <alignment horizontal="right" vertical="center"/>
    </xf>
    <xf numFmtId="0" fontId="0" fillId="11" borderId="0" xfId="0" applyFill="1"/>
    <xf numFmtId="0" fontId="5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71" fontId="3" fillId="3" borderId="1" xfId="0" applyNumberFormat="1" applyFont="1" applyFill="1" applyBorder="1" applyAlignment="1">
      <alignment horizontal="right" vertical="center"/>
    </xf>
    <xf numFmtId="164" fontId="8" fillId="13" borderId="1" xfId="0" applyNumberFormat="1" applyFont="1" applyFill="1" applyBorder="1" applyAlignment="1">
      <alignment horizontal="right" vertical="center"/>
    </xf>
    <xf numFmtId="172" fontId="3" fillId="16" borderId="1" xfId="0" applyNumberFormat="1" applyFont="1" applyFill="1" applyBorder="1" applyAlignment="1">
      <alignment horizontal="right" vertical="center"/>
    </xf>
    <xf numFmtId="173" fontId="8" fillId="17" borderId="1" xfId="0" applyNumberFormat="1" applyFont="1" applyFill="1" applyBorder="1" applyAlignment="1">
      <alignment horizontal="right" vertical="center"/>
    </xf>
    <xf numFmtId="174" fontId="8" fillId="17" borderId="1" xfId="0" applyNumberFormat="1" applyFont="1" applyFill="1" applyBorder="1" applyAlignment="1">
      <alignment horizontal="right" vertical="center"/>
    </xf>
    <xf numFmtId="0" fontId="8" fillId="1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71" fontId="3" fillId="4" borderId="1" xfId="0" applyNumberFormat="1" applyFont="1" applyFill="1" applyBorder="1" applyAlignment="1">
      <alignment horizontal="right" vertical="center"/>
    </xf>
    <xf numFmtId="164" fontId="8" fillId="18" borderId="1" xfId="0" applyNumberFormat="1" applyFont="1" applyFill="1" applyBorder="1" applyAlignment="1">
      <alignment horizontal="right" vertical="center"/>
    </xf>
    <xf numFmtId="0" fontId="8" fillId="1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75" fontId="8" fillId="20" borderId="1" xfId="0" applyNumberFormat="1" applyFont="1" applyFill="1" applyBorder="1" applyAlignment="1">
      <alignment horizontal="right" vertical="center"/>
    </xf>
    <xf numFmtId="175" fontId="3" fillId="6" borderId="1" xfId="0" applyNumberFormat="1" applyFont="1" applyFill="1" applyBorder="1" applyAlignment="1">
      <alignment horizontal="right" vertical="center"/>
    </xf>
    <xf numFmtId="175" fontId="8" fillId="21" borderId="1" xfId="0" applyNumberFormat="1" applyFont="1" applyFill="1" applyBorder="1" applyAlignment="1">
      <alignment horizontal="right" vertical="center"/>
    </xf>
    <xf numFmtId="175" fontId="14" fillId="15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17" fillId="22" borderId="1" xfId="0" applyFont="1" applyFill="1" applyBorder="1" applyAlignment="1">
      <alignment horizontal="center" vertical="center"/>
    </xf>
    <xf numFmtId="166" fontId="17" fillId="22" borderId="1" xfId="0" applyNumberFormat="1" applyFont="1" applyFill="1" applyBorder="1" applyAlignment="1">
      <alignment horizontal="center" vertical="center"/>
    </xf>
    <xf numFmtId="164" fontId="17" fillId="2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/>
    <xf numFmtId="164" fontId="9" fillId="2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/>
    </xf>
    <xf numFmtId="175" fontId="9" fillId="15" borderId="1" xfId="0" applyNumberFormat="1" applyFont="1" applyFill="1" applyBorder="1" applyAlignment="1">
      <alignment horizontal="right" vertical="center"/>
    </xf>
    <xf numFmtId="175" fontId="3" fillId="3" borderId="1" xfId="0" applyNumberFormat="1" applyFont="1" applyFill="1" applyBorder="1" applyAlignment="1">
      <alignment horizontal="right" vertical="center"/>
    </xf>
    <xf numFmtId="175" fontId="3" fillId="4" borderId="1" xfId="0" applyNumberFormat="1" applyFont="1" applyFill="1" applyBorder="1" applyAlignment="1">
      <alignment horizontal="right" vertical="center"/>
    </xf>
    <xf numFmtId="164" fontId="9" fillId="1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9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showGridLines="0" workbookViewId="0"/>
  </sheetViews>
  <sheetFormatPr defaultRowHeight="14.5" x14ac:dyDescent="0.35"/>
  <cols>
    <col min="1" max="1" width="110" customWidth="1"/>
  </cols>
  <sheetData>
    <row r="1" spans="1:1" ht="2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/>
    </row>
    <row r="10" spans="1:1" x14ac:dyDescent="0.35">
      <c r="A10" s="2" t="s">
        <v>8</v>
      </c>
    </row>
    <row r="11" spans="1:1" x14ac:dyDescent="0.35">
      <c r="A11" s="3" t="s">
        <v>9</v>
      </c>
    </row>
    <row r="12" spans="1:1" x14ac:dyDescent="0.35">
      <c r="A12" s="3" t="s">
        <v>10</v>
      </c>
    </row>
    <row r="13" spans="1:1" x14ac:dyDescent="0.35">
      <c r="A13" s="3" t="s">
        <v>11</v>
      </c>
    </row>
    <row r="14" spans="1:1" x14ac:dyDescent="0.35">
      <c r="A14" s="3" t="s">
        <v>12</v>
      </c>
    </row>
    <row r="15" spans="1:1" x14ac:dyDescent="0.35">
      <c r="A15" s="3"/>
    </row>
    <row r="16" spans="1:1" x14ac:dyDescent="0.35">
      <c r="A16" s="2" t="s">
        <v>13</v>
      </c>
    </row>
    <row r="17" spans="1:1" x14ac:dyDescent="0.35">
      <c r="A17" s="3" t="s">
        <v>14</v>
      </c>
    </row>
    <row r="18" spans="1:1" x14ac:dyDescent="0.35">
      <c r="A18" s="3" t="s">
        <v>15</v>
      </c>
    </row>
    <row r="19" spans="1:1" x14ac:dyDescent="0.35">
      <c r="A19" s="3" t="s">
        <v>16</v>
      </c>
    </row>
    <row r="20" spans="1:1" x14ac:dyDescent="0.35">
      <c r="A20" s="3" t="s">
        <v>17</v>
      </c>
    </row>
    <row r="21" spans="1:1" x14ac:dyDescent="0.35">
      <c r="A21" s="3" t="s">
        <v>18</v>
      </c>
    </row>
    <row r="22" spans="1:1" x14ac:dyDescent="0.35">
      <c r="A22" s="3"/>
    </row>
    <row r="23" spans="1:1" x14ac:dyDescent="0.35">
      <c r="A23" s="2" t="s">
        <v>19</v>
      </c>
    </row>
    <row r="24" spans="1:1" x14ac:dyDescent="0.35">
      <c r="A24" s="3" t="s">
        <v>20</v>
      </c>
    </row>
    <row r="25" spans="1:1" x14ac:dyDescent="0.35">
      <c r="A25" s="3"/>
    </row>
    <row r="26" spans="1:1" x14ac:dyDescent="0.35">
      <c r="A26" s="2" t="s">
        <v>21</v>
      </c>
    </row>
    <row r="27" spans="1:1" x14ac:dyDescent="0.35">
      <c r="A27" s="3" t="s">
        <v>22</v>
      </c>
    </row>
    <row r="28" spans="1:1" x14ac:dyDescent="0.35">
      <c r="A28" s="3"/>
    </row>
    <row r="29" spans="1:1" x14ac:dyDescent="0.35">
      <c r="A29" s="2" t="s">
        <v>23</v>
      </c>
    </row>
    <row r="30" spans="1:1" x14ac:dyDescent="0.35">
      <c r="A30" s="3" t="s">
        <v>24</v>
      </c>
    </row>
    <row r="31" spans="1:1" x14ac:dyDescent="0.35">
      <c r="A31" s="3" t="s">
        <v>25</v>
      </c>
    </row>
    <row r="32" spans="1:1" x14ac:dyDescent="0.35">
      <c r="A32" s="3" t="s">
        <v>26</v>
      </c>
    </row>
    <row r="33" spans="1:1" x14ac:dyDescent="0.35">
      <c r="A33" s="3"/>
    </row>
    <row r="34" spans="1:1" x14ac:dyDescent="0.35">
      <c r="A34" s="2" t="s">
        <v>27</v>
      </c>
    </row>
    <row r="35" spans="1:1" x14ac:dyDescent="0.35">
      <c r="A35" s="3" t="s">
        <v>28</v>
      </c>
    </row>
    <row r="36" spans="1:1" x14ac:dyDescent="0.35">
      <c r="A36" s="3" t="s">
        <v>29</v>
      </c>
    </row>
    <row r="37" spans="1:1" x14ac:dyDescent="0.35">
      <c r="A37" s="3" t="s">
        <v>30</v>
      </c>
    </row>
    <row r="38" spans="1:1" x14ac:dyDescent="0.35">
      <c r="A38" s="3" t="s">
        <v>31</v>
      </c>
    </row>
    <row r="39" spans="1:1" x14ac:dyDescent="0.35">
      <c r="A39" s="3" t="s">
        <v>32</v>
      </c>
    </row>
    <row r="40" spans="1:1" x14ac:dyDescent="0.35">
      <c r="A40" s="3" t="s">
        <v>33</v>
      </c>
    </row>
    <row r="41" spans="1:1" x14ac:dyDescent="0.35">
      <c r="A41" s="3" t="s">
        <v>34</v>
      </c>
    </row>
    <row r="42" spans="1:1" x14ac:dyDescent="0.35">
      <c r="A42" s="3" t="s">
        <v>35</v>
      </c>
    </row>
    <row r="43" spans="1:1" x14ac:dyDescent="0.35">
      <c r="A43" s="3" t="s">
        <v>36</v>
      </c>
    </row>
    <row r="44" spans="1:1" x14ac:dyDescent="0.35">
      <c r="A44" s="3"/>
    </row>
    <row r="45" spans="1:1" x14ac:dyDescent="0.35">
      <c r="A45" s="2" t="s">
        <v>37</v>
      </c>
    </row>
    <row r="46" spans="1:1" x14ac:dyDescent="0.35">
      <c r="A46" s="3" t="s">
        <v>38</v>
      </c>
    </row>
    <row r="47" spans="1:1" x14ac:dyDescent="0.35">
      <c r="A47" s="3"/>
    </row>
    <row r="48" spans="1:1" x14ac:dyDescent="0.35">
      <c r="A48" s="2" t="s">
        <v>39</v>
      </c>
    </row>
    <row r="49" spans="1:1" x14ac:dyDescent="0.35">
      <c r="A49" s="3" t="s">
        <v>40</v>
      </c>
    </row>
    <row r="50" spans="1:1" x14ac:dyDescent="0.35">
      <c r="A50" s="3" t="s">
        <v>41</v>
      </c>
    </row>
    <row r="51" spans="1:1" x14ac:dyDescent="0.35">
      <c r="A51" s="3" t="s">
        <v>42</v>
      </c>
    </row>
    <row r="52" spans="1:1" x14ac:dyDescent="0.35">
      <c r="A52" s="3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showGridLines="0" workbookViewId="0">
      <selection activeCell="B19" sqref="B19"/>
    </sheetView>
  </sheetViews>
  <sheetFormatPr defaultRowHeight="14.5" x14ac:dyDescent="0.35"/>
  <cols>
    <col min="1" max="1" width="32" customWidth="1"/>
    <col min="2" max="2" width="16" customWidth="1"/>
    <col min="3" max="3" width="46" customWidth="1"/>
  </cols>
  <sheetData>
    <row r="1" spans="1:3" ht="18.5" x14ac:dyDescent="0.35">
      <c r="A1" s="103" t="s">
        <v>44</v>
      </c>
      <c r="B1" s="104"/>
      <c r="C1" s="105"/>
    </row>
    <row r="3" spans="1:3" x14ac:dyDescent="0.35">
      <c r="A3" s="5" t="s">
        <v>45</v>
      </c>
      <c r="B3" s="5" t="s">
        <v>46</v>
      </c>
      <c r="C3" s="5" t="s">
        <v>47</v>
      </c>
    </row>
    <row r="4" spans="1:3" x14ac:dyDescent="0.35">
      <c r="A4" s="6" t="s">
        <v>48</v>
      </c>
    </row>
    <row r="5" spans="1:3" x14ac:dyDescent="0.35">
      <c r="A5" s="7" t="s">
        <v>49</v>
      </c>
      <c r="B5" s="8">
        <v>100000</v>
      </c>
      <c r="C5" s="9" t="s">
        <v>50</v>
      </c>
    </row>
    <row r="6" spans="1:3" x14ac:dyDescent="0.35">
      <c r="A6" s="10" t="s">
        <v>51</v>
      </c>
      <c r="B6" s="11">
        <v>0.05</v>
      </c>
      <c r="C6" s="12" t="s">
        <v>52</v>
      </c>
    </row>
    <row r="7" spans="1:3" x14ac:dyDescent="0.35">
      <c r="A7" s="7" t="s">
        <v>53</v>
      </c>
      <c r="B7" s="13">
        <v>5.5</v>
      </c>
      <c r="C7" s="9" t="s">
        <v>54</v>
      </c>
    </row>
    <row r="8" spans="1:3" x14ac:dyDescent="0.35">
      <c r="A8" s="10" t="s">
        <v>55</v>
      </c>
      <c r="B8" s="14">
        <v>33</v>
      </c>
      <c r="C8" s="12" t="s">
        <v>56</v>
      </c>
    </row>
    <row r="9" spans="1:3" x14ac:dyDescent="0.35">
      <c r="A9" s="7" t="s">
        <v>57</v>
      </c>
      <c r="B9" s="15" t="s">
        <v>58</v>
      </c>
      <c r="C9" s="9"/>
    </row>
    <row r="10" spans="1:3" x14ac:dyDescent="0.35">
      <c r="A10" s="10" t="s">
        <v>59</v>
      </c>
      <c r="B10" s="16">
        <v>60</v>
      </c>
      <c r="C10" s="12" t="s">
        <v>60</v>
      </c>
    </row>
    <row r="11" spans="1:3" x14ac:dyDescent="0.35">
      <c r="A11" s="7" t="s">
        <v>61</v>
      </c>
      <c r="B11" s="17">
        <v>60</v>
      </c>
      <c r="C11" s="9"/>
    </row>
    <row r="12" spans="1:3" x14ac:dyDescent="0.35">
      <c r="A12" s="10" t="s">
        <v>62</v>
      </c>
      <c r="B12" s="18">
        <v>46023</v>
      </c>
      <c r="C12" s="12"/>
    </row>
    <row r="13" spans="1:3" x14ac:dyDescent="0.35">
      <c r="A13" s="7" t="s">
        <v>63</v>
      </c>
      <c r="B13" s="8">
        <v>12000</v>
      </c>
      <c r="C13" s="9" t="s">
        <v>64</v>
      </c>
    </row>
    <row r="14" spans="1:3" x14ac:dyDescent="0.35">
      <c r="A14" s="10" t="s">
        <v>65</v>
      </c>
      <c r="B14" s="19">
        <v>6000</v>
      </c>
      <c r="C14" s="12" t="s">
        <v>66</v>
      </c>
    </row>
    <row r="15" spans="1:3" x14ac:dyDescent="0.35">
      <c r="A15" s="7" t="s">
        <v>67</v>
      </c>
      <c r="B15" s="20">
        <v>1</v>
      </c>
      <c r="C15" s="9" t="s">
        <v>68</v>
      </c>
    </row>
    <row r="17" spans="1:3" x14ac:dyDescent="0.35">
      <c r="A17" s="6" t="s">
        <v>69</v>
      </c>
    </row>
    <row r="18" spans="1:3" x14ac:dyDescent="0.35">
      <c r="A18" s="10" t="s">
        <v>70</v>
      </c>
      <c r="B18" s="21">
        <v>0.12</v>
      </c>
      <c r="C18" s="12" t="s">
        <v>71</v>
      </c>
    </row>
    <row r="19" spans="1:3" x14ac:dyDescent="0.35">
      <c r="A19" s="7" t="s">
        <v>72</v>
      </c>
      <c r="B19" s="13">
        <v>0.3</v>
      </c>
      <c r="C19" s="9" t="s">
        <v>73</v>
      </c>
    </row>
    <row r="20" spans="1:3" x14ac:dyDescent="0.35">
      <c r="A20" s="10" t="s">
        <v>74</v>
      </c>
      <c r="B20" s="21">
        <v>0.2</v>
      </c>
      <c r="C20" s="12" t="s">
        <v>75</v>
      </c>
    </row>
    <row r="21" spans="1:3" x14ac:dyDescent="0.35">
      <c r="A21" s="7" t="s">
        <v>76</v>
      </c>
      <c r="B21" s="13">
        <v>0.1</v>
      </c>
      <c r="C21" s="9" t="s">
        <v>77</v>
      </c>
    </row>
    <row r="23" spans="1:3" x14ac:dyDescent="0.35">
      <c r="A23" s="6" t="s">
        <v>78</v>
      </c>
    </row>
    <row r="24" spans="1:3" x14ac:dyDescent="0.35">
      <c r="A24" s="10" t="s">
        <v>79</v>
      </c>
      <c r="B24" s="21">
        <v>0.75</v>
      </c>
      <c r="C24" s="12" t="s">
        <v>80</v>
      </c>
    </row>
    <row r="25" spans="1:3" x14ac:dyDescent="0.35">
      <c r="A25" s="7" t="s">
        <v>81</v>
      </c>
      <c r="B25" s="22">
        <v>0.03</v>
      </c>
      <c r="C25" s="9" t="s">
        <v>82</v>
      </c>
    </row>
    <row r="26" spans="1:3" x14ac:dyDescent="0.35">
      <c r="A26" s="10" t="s">
        <v>83</v>
      </c>
      <c r="B26" s="23">
        <v>0.2</v>
      </c>
      <c r="C26" s="12" t="s">
        <v>84</v>
      </c>
    </row>
    <row r="27" spans="1:3" x14ac:dyDescent="0.35">
      <c r="A27" s="7" t="s">
        <v>85</v>
      </c>
      <c r="B27" s="22">
        <v>0.4</v>
      </c>
      <c r="C27" s="9" t="s">
        <v>86</v>
      </c>
    </row>
    <row r="28" spans="1:3" x14ac:dyDescent="0.35">
      <c r="A28" s="10" t="s">
        <v>87</v>
      </c>
      <c r="B28" s="23">
        <v>0.35</v>
      </c>
      <c r="C28" s="12" t="s">
        <v>88</v>
      </c>
    </row>
    <row r="30" spans="1:3" x14ac:dyDescent="0.35">
      <c r="A30" s="6" t="s">
        <v>89</v>
      </c>
    </row>
    <row r="31" spans="1:3" x14ac:dyDescent="0.35">
      <c r="A31" s="7" t="s">
        <v>90</v>
      </c>
      <c r="B31" s="22">
        <v>0.3</v>
      </c>
      <c r="C31" s="9" t="s">
        <v>91</v>
      </c>
    </row>
    <row r="32" spans="1:3" x14ac:dyDescent="0.35">
      <c r="A32" s="10" t="s">
        <v>92</v>
      </c>
      <c r="B32" s="23">
        <v>0.35</v>
      </c>
      <c r="C32" s="12" t="s">
        <v>93</v>
      </c>
    </row>
    <row r="33" spans="1:3" x14ac:dyDescent="0.35">
      <c r="A33" s="7" t="s">
        <v>94</v>
      </c>
      <c r="B33" s="22">
        <v>0.2</v>
      </c>
      <c r="C33" s="9" t="s">
        <v>95</v>
      </c>
    </row>
    <row r="34" spans="1:3" x14ac:dyDescent="0.35">
      <c r="A34" s="10" t="s">
        <v>96</v>
      </c>
      <c r="B34" s="23">
        <v>0.15</v>
      </c>
      <c r="C34" s="12" t="s">
        <v>97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3" width="22" customWidth="1"/>
    <col min="4" max="5" width="16" customWidth="1"/>
    <col min="6" max="6" width="20" customWidth="1"/>
  </cols>
  <sheetData>
    <row r="1" spans="1:6" ht="18.5" x14ac:dyDescent="0.35">
      <c r="A1" s="4" t="s">
        <v>98</v>
      </c>
    </row>
    <row r="3" spans="1:6" ht="35" customHeight="1" x14ac:dyDescent="0.35">
      <c r="A3" s="24" t="s">
        <v>99</v>
      </c>
      <c r="B3" s="24" t="s">
        <v>100</v>
      </c>
      <c r="C3" s="24" t="s">
        <v>101</v>
      </c>
      <c r="D3" s="24" t="s">
        <v>102</v>
      </c>
      <c r="E3" s="24" t="s">
        <v>103</v>
      </c>
      <c r="F3" s="24" t="s">
        <v>104</v>
      </c>
    </row>
    <row r="4" spans="1:6" x14ac:dyDescent="0.35">
      <c r="A4" s="25">
        <v>1</v>
      </c>
      <c r="B4" s="26">
        <v>46023</v>
      </c>
      <c r="C4" s="27">
        <v>0</v>
      </c>
      <c r="D4" s="27">
        <v>0</v>
      </c>
      <c r="E4" s="27">
        <v>0</v>
      </c>
      <c r="F4" s="27">
        <v>0</v>
      </c>
    </row>
    <row r="5" spans="1:6" x14ac:dyDescent="0.35">
      <c r="A5" s="28">
        <v>2</v>
      </c>
      <c r="B5" s="29">
        <v>46054</v>
      </c>
      <c r="C5" s="30">
        <v>0</v>
      </c>
      <c r="D5" s="30">
        <v>0</v>
      </c>
      <c r="E5" s="30">
        <v>0</v>
      </c>
      <c r="F5" s="30">
        <v>0</v>
      </c>
    </row>
    <row r="6" spans="1:6" x14ac:dyDescent="0.35">
      <c r="A6" s="31">
        <v>3</v>
      </c>
      <c r="B6" s="32">
        <v>46082</v>
      </c>
      <c r="C6" s="33">
        <v>1250</v>
      </c>
      <c r="D6" s="33">
        <v>0</v>
      </c>
      <c r="E6" s="34">
        <v>1250</v>
      </c>
      <c r="F6" s="33">
        <v>1250</v>
      </c>
    </row>
    <row r="7" spans="1:6" x14ac:dyDescent="0.35">
      <c r="A7" s="28">
        <v>4</v>
      </c>
      <c r="B7" s="29">
        <v>46113</v>
      </c>
      <c r="C7" s="30">
        <v>0</v>
      </c>
      <c r="D7" s="30">
        <v>0</v>
      </c>
      <c r="E7" s="30">
        <v>0</v>
      </c>
      <c r="F7" s="30">
        <v>1250</v>
      </c>
    </row>
    <row r="8" spans="1:6" x14ac:dyDescent="0.35">
      <c r="A8" s="25">
        <v>5</v>
      </c>
      <c r="B8" s="26">
        <v>46143</v>
      </c>
      <c r="C8" s="27">
        <v>0</v>
      </c>
      <c r="D8" s="27">
        <v>0</v>
      </c>
      <c r="E8" s="27">
        <v>0</v>
      </c>
      <c r="F8" s="27">
        <v>1250</v>
      </c>
    </row>
    <row r="9" spans="1:6" x14ac:dyDescent="0.35">
      <c r="A9" s="31">
        <v>6</v>
      </c>
      <c r="B9" s="32">
        <v>46174</v>
      </c>
      <c r="C9" s="33">
        <v>1250</v>
      </c>
      <c r="D9" s="33">
        <v>0</v>
      </c>
      <c r="E9" s="34">
        <v>1250</v>
      </c>
      <c r="F9" s="33">
        <v>2500</v>
      </c>
    </row>
    <row r="10" spans="1:6" x14ac:dyDescent="0.35">
      <c r="A10" s="25">
        <v>7</v>
      </c>
      <c r="B10" s="26">
        <v>46204</v>
      </c>
      <c r="C10" s="27">
        <v>0</v>
      </c>
      <c r="D10" s="27">
        <v>0</v>
      </c>
      <c r="E10" s="27">
        <v>0</v>
      </c>
      <c r="F10" s="27">
        <v>2500</v>
      </c>
    </row>
    <row r="11" spans="1:6" x14ac:dyDescent="0.35">
      <c r="A11" s="28">
        <v>8</v>
      </c>
      <c r="B11" s="29">
        <v>46235</v>
      </c>
      <c r="C11" s="30">
        <v>0</v>
      </c>
      <c r="D11" s="30">
        <v>0</v>
      </c>
      <c r="E11" s="30">
        <v>0</v>
      </c>
      <c r="F11" s="30">
        <v>2500</v>
      </c>
    </row>
    <row r="12" spans="1:6" x14ac:dyDescent="0.35">
      <c r="A12" s="31">
        <v>9</v>
      </c>
      <c r="B12" s="32">
        <v>46266</v>
      </c>
      <c r="C12" s="33">
        <v>1250</v>
      </c>
      <c r="D12" s="33">
        <v>0</v>
      </c>
      <c r="E12" s="34">
        <v>1250</v>
      </c>
      <c r="F12" s="33">
        <v>3750</v>
      </c>
    </row>
    <row r="13" spans="1:6" x14ac:dyDescent="0.35">
      <c r="A13" s="28">
        <v>10</v>
      </c>
      <c r="B13" s="29">
        <v>46296</v>
      </c>
      <c r="C13" s="30">
        <v>0</v>
      </c>
      <c r="D13" s="30">
        <v>0</v>
      </c>
      <c r="E13" s="30">
        <v>0</v>
      </c>
      <c r="F13" s="30">
        <v>3750</v>
      </c>
    </row>
    <row r="14" spans="1:6" x14ac:dyDescent="0.35">
      <c r="A14" s="25">
        <v>11</v>
      </c>
      <c r="B14" s="26">
        <v>46327</v>
      </c>
      <c r="C14" s="27">
        <v>0</v>
      </c>
      <c r="D14" s="27">
        <v>0</v>
      </c>
      <c r="E14" s="27">
        <v>0</v>
      </c>
      <c r="F14" s="27">
        <v>3750</v>
      </c>
    </row>
    <row r="15" spans="1:6" x14ac:dyDescent="0.35">
      <c r="A15" s="31">
        <v>12</v>
      </c>
      <c r="B15" s="32">
        <v>46357</v>
      </c>
      <c r="C15" s="33">
        <v>1250</v>
      </c>
      <c r="D15" s="33">
        <v>0</v>
      </c>
      <c r="E15" s="34">
        <v>1250</v>
      </c>
      <c r="F15" s="33">
        <v>5000</v>
      </c>
    </row>
    <row r="16" spans="1:6" x14ac:dyDescent="0.35">
      <c r="A16" s="25">
        <v>13</v>
      </c>
      <c r="B16" s="26">
        <v>46388</v>
      </c>
      <c r="C16" s="27">
        <v>0</v>
      </c>
      <c r="D16" s="27">
        <v>0</v>
      </c>
      <c r="E16" s="27">
        <v>0</v>
      </c>
      <c r="F16" s="27">
        <v>5000</v>
      </c>
    </row>
    <row r="17" spans="1:6" x14ac:dyDescent="0.35">
      <c r="A17" s="28">
        <v>14</v>
      </c>
      <c r="B17" s="29">
        <v>46419</v>
      </c>
      <c r="C17" s="30">
        <v>0</v>
      </c>
      <c r="D17" s="30">
        <v>0</v>
      </c>
      <c r="E17" s="30">
        <v>0</v>
      </c>
      <c r="F17" s="30">
        <v>5000</v>
      </c>
    </row>
    <row r="18" spans="1:6" x14ac:dyDescent="0.35">
      <c r="A18" s="31">
        <v>15</v>
      </c>
      <c r="B18" s="32">
        <v>46447</v>
      </c>
      <c r="C18" s="33">
        <v>1250</v>
      </c>
      <c r="D18" s="33">
        <v>0</v>
      </c>
      <c r="E18" s="34">
        <v>1250</v>
      </c>
      <c r="F18" s="33">
        <v>6250</v>
      </c>
    </row>
    <row r="19" spans="1:6" x14ac:dyDescent="0.35">
      <c r="A19" s="28">
        <v>16</v>
      </c>
      <c r="B19" s="29">
        <v>46478</v>
      </c>
      <c r="C19" s="30">
        <v>0</v>
      </c>
      <c r="D19" s="30">
        <v>0</v>
      </c>
      <c r="E19" s="30">
        <v>0</v>
      </c>
      <c r="F19" s="30">
        <v>6250</v>
      </c>
    </row>
    <row r="20" spans="1:6" x14ac:dyDescent="0.35">
      <c r="A20" s="25">
        <v>17</v>
      </c>
      <c r="B20" s="26">
        <v>46508</v>
      </c>
      <c r="C20" s="27">
        <v>0</v>
      </c>
      <c r="D20" s="27">
        <v>0</v>
      </c>
      <c r="E20" s="27">
        <v>0</v>
      </c>
      <c r="F20" s="27">
        <v>6250</v>
      </c>
    </row>
    <row r="21" spans="1:6" x14ac:dyDescent="0.35">
      <c r="A21" s="31">
        <v>18</v>
      </c>
      <c r="B21" s="32">
        <v>46539</v>
      </c>
      <c r="C21" s="33">
        <v>1250</v>
      </c>
      <c r="D21" s="33">
        <v>0</v>
      </c>
      <c r="E21" s="34">
        <v>1250</v>
      </c>
      <c r="F21" s="33">
        <v>7500</v>
      </c>
    </row>
    <row r="22" spans="1:6" x14ac:dyDescent="0.35">
      <c r="A22" s="25">
        <v>19</v>
      </c>
      <c r="B22" s="26">
        <v>46569</v>
      </c>
      <c r="C22" s="27">
        <v>0</v>
      </c>
      <c r="D22" s="27">
        <v>0</v>
      </c>
      <c r="E22" s="27">
        <v>0</v>
      </c>
      <c r="F22" s="27">
        <v>7500</v>
      </c>
    </row>
    <row r="23" spans="1:6" x14ac:dyDescent="0.35">
      <c r="A23" s="28">
        <v>20</v>
      </c>
      <c r="B23" s="29">
        <v>46600</v>
      </c>
      <c r="C23" s="30">
        <v>0</v>
      </c>
      <c r="D23" s="30">
        <v>0</v>
      </c>
      <c r="E23" s="30">
        <v>0</v>
      </c>
      <c r="F23" s="30">
        <v>7500</v>
      </c>
    </row>
    <row r="24" spans="1:6" x14ac:dyDescent="0.35">
      <c r="A24" s="31">
        <v>21</v>
      </c>
      <c r="B24" s="32">
        <v>46631</v>
      </c>
      <c r="C24" s="33">
        <v>1250</v>
      </c>
      <c r="D24" s="33">
        <v>0</v>
      </c>
      <c r="E24" s="34">
        <v>1250</v>
      </c>
      <c r="F24" s="33">
        <v>8750</v>
      </c>
    </row>
    <row r="25" spans="1:6" x14ac:dyDescent="0.35">
      <c r="A25" s="28">
        <v>22</v>
      </c>
      <c r="B25" s="29">
        <v>46661</v>
      </c>
      <c r="C25" s="30">
        <v>0</v>
      </c>
      <c r="D25" s="30">
        <v>0</v>
      </c>
      <c r="E25" s="30">
        <v>0</v>
      </c>
      <c r="F25" s="30">
        <v>8750</v>
      </c>
    </row>
    <row r="26" spans="1:6" x14ac:dyDescent="0.35">
      <c r="A26" s="25">
        <v>23</v>
      </c>
      <c r="B26" s="26">
        <v>46692</v>
      </c>
      <c r="C26" s="27">
        <v>0</v>
      </c>
      <c r="D26" s="27">
        <v>0</v>
      </c>
      <c r="E26" s="27">
        <v>0</v>
      </c>
      <c r="F26" s="27">
        <v>8750</v>
      </c>
    </row>
    <row r="27" spans="1:6" x14ac:dyDescent="0.35">
      <c r="A27" s="31">
        <v>24</v>
      </c>
      <c r="B27" s="32">
        <v>46722</v>
      </c>
      <c r="C27" s="33">
        <v>1250</v>
      </c>
      <c r="D27" s="33">
        <v>0</v>
      </c>
      <c r="E27" s="34">
        <v>1250</v>
      </c>
      <c r="F27" s="33">
        <v>10000</v>
      </c>
    </row>
    <row r="28" spans="1:6" x14ac:dyDescent="0.35">
      <c r="A28" s="25">
        <v>25</v>
      </c>
      <c r="B28" s="26">
        <v>46753</v>
      </c>
      <c r="C28" s="27">
        <v>0</v>
      </c>
      <c r="D28" s="27">
        <v>0</v>
      </c>
      <c r="E28" s="27">
        <v>0</v>
      </c>
      <c r="F28" s="27">
        <v>10000</v>
      </c>
    </row>
    <row r="29" spans="1:6" x14ac:dyDescent="0.35">
      <c r="A29" s="28">
        <v>26</v>
      </c>
      <c r="B29" s="29">
        <v>46784</v>
      </c>
      <c r="C29" s="30">
        <v>0</v>
      </c>
      <c r="D29" s="30">
        <v>0</v>
      </c>
      <c r="E29" s="30">
        <v>0</v>
      </c>
      <c r="F29" s="30">
        <v>10000</v>
      </c>
    </row>
    <row r="30" spans="1:6" x14ac:dyDescent="0.35">
      <c r="A30" s="31">
        <v>27</v>
      </c>
      <c r="B30" s="32">
        <v>46813</v>
      </c>
      <c r="C30" s="33">
        <v>1250</v>
      </c>
      <c r="D30" s="33">
        <v>0</v>
      </c>
      <c r="E30" s="34">
        <v>1250</v>
      </c>
      <c r="F30" s="33">
        <v>11250</v>
      </c>
    </row>
    <row r="31" spans="1:6" x14ac:dyDescent="0.35">
      <c r="A31" s="28">
        <v>28</v>
      </c>
      <c r="B31" s="29">
        <v>46844</v>
      </c>
      <c r="C31" s="30">
        <v>0</v>
      </c>
      <c r="D31" s="30">
        <v>0</v>
      </c>
      <c r="E31" s="30">
        <v>0</v>
      </c>
      <c r="F31" s="30">
        <v>11250</v>
      </c>
    </row>
    <row r="32" spans="1:6" x14ac:dyDescent="0.35">
      <c r="A32" s="25">
        <v>29</v>
      </c>
      <c r="B32" s="26">
        <v>46874</v>
      </c>
      <c r="C32" s="27">
        <v>0</v>
      </c>
      <c r="D32" s="27">
        <v>0</v>
      </c>
      <c r="E32" s="27">
        <v>0</v>
      </c>
      <c r="F32" s="27">
        <v>11250</v>
      </c>
    </row>
    <row r="33" spans="1:6" x14ac:dyDescent="0.35">
      <c r="A33" s="31">
        <v>30</v>
      </c>
      <c r="B33" s="32">
        <v>46905</v>
      </c>
      <c r="C33" s="33">
        <v>1250</v>
      </c>
      <c r="D33" s="33">
        <v>0</v>
      </c>
      <c r="E33" s="34">
        <v>1250</v>
      </c>
      <c r="F33" s="33">
        <v>12500</v>
      </c>
    </row>
    <row r="34" spans="1:6" x14ac:dyDescent="0.35">
      <c r="A34" s="25">
        <v>31</v>
      </c>
      <c r="B34" s="26">
        <v>46935</v>
      </c>
      <c r="C34" s="27">
        <v>0</v>
      </c>
      <c r="D34" s="27">
        <v>0</v>
      </c>
      <c r="E34" s="27">
        <v>0</v>
      </c>
      <c r="F34" s="27">
        <v>12500</v>
      </c>
    </row>
    <row r="35" spans="1:6" x14ac:dyDescent="0.35">
      <c r="A35" s="28">
        <v>32</v>
      </c>
      <c r="B35" s="29">
        <v>46966</v>
      </c>
      <c r="C35" s="30">
        <v>0</v>
      </c>
      <c r="D35" s="30">
        <v>0</v>
      </c>
      <c r="E35" s="30">
        <v>0</v>
      </c>
      <c r="F35" s="30">
        <v>12500</v>
      </c>
    </row>
    <row r="36" spans="1:6" x14ac:dyDescent="0.35">
      <c r="A36" s="31">
        <v>33</v>
      </c>
      <c r="B36" s="32">
        <v>46997</v>
      </c>
      <c r="C36" s="33">
        <v>1250</v>
      </c>
      <c r="D36" s="33">
        <v>0</v>
      </c>
      <c r="E36" s="34">
        <v>1250</v>
      </c>
      <c r="F36" s="33">
        <v>13750</v>
      </c>
    </row>
    <row r="37" spans="1:6" x14ac:dyDescent="0.35">
      <c r="A37" s="28">
        <v>34</v>
      </c>
      <c r="B37" s="29">
        <v>47027</v>
      </c>
      <c r="C37" s="30">
        <v>0</v>
      </c>
      <c r="D37" s="30">
        <v>0</v>
      </c>
      <c r="E37" s="30">
        <v>0</v>
      </c>
      <c r="F37" s="30">
        <v>13750</v>
      </c>
    </row>
    <row r="38" spans="1:6" x14ac:dyDescent="0.35">
      <c r="A38" s="25">
        <v>35</v>
      </c>
      <c r="B38" s="26">
        <v>47058</v>
      </c>
      <c r="C38" s="27">
        <v>0</v>
      </c>
      <c r="D38" s="27">
        <v>0</v>
      </c>
      <c r="E38" s="27">
        <v>0</v>
      </c>
      <c r="F38" s="27">
        <v>13750</v>
      </c>
    </row>
    <row r="39" spans="1:6" x14ac:dyDescent="0.35">
      <c r="A39" s="31">
        <v>36</v>
      </c>
      <c r="B39" s="32">
        <v>47088</v>
      </c>
      <c r="C39" s="33">
        <v>1250</v>
      </c>
      <c r="D39" s="33">
        <v>0</v>
      </c>
      <c r="E39" s="34">
        <v>1250</v>
      </c>
      <c r="F39" s="33">
        <v>15000</v>
      </c>
    </row>
    <row r="40" spans="1:6" x14ac:dyDescent="0.35">
      <c r="A40" s="25">
        <v>37</v>
      </c>
      <c r="B40" s="26">
        <v>47119</v>
      </c>
      <c r="C40" s="27">
        <v>0</v>
      </c>
      <c r="D40" s="27">
        <v>0</v>
      </c>
      <c r="E40" s="27">
        <v>0</v>
      </c>
      <c r="F40" s="27">
        <v>15000</v>
      </c>
    </row>
    <row r="41" spans="1:6" x14ac:dyDescent="0.35">
      <c r="A41" s="28">
        <v>38</v>
      </c>
      <c r="B41" s="29">
        <v>47150</v>
      </c>
      <c r="C41" s="30">
        <v>0</v>
      </c>
      <c r="D41" s="30">
        <v>0</v>
      </c>
      <c r="E41" s="30">
        <v>0</v>
      </c>
      <c r="F41" s="30">
        <v>15000</v>
      </c>
    </row>
    <row r="42" spans="1:6" x14ac:dyDescent="0.35">
      <c r="A42" s="31">
        <v>39</v>
      </c>
      <c r="B42" s="32">
        <v>47178</v>
      </c>
      <c r="C42" s="33">
        <v>1250</v>
      </c>
      <c r="D42" s="33">
        <v>0</v>
      </c>
      <c r="E42" s="34">
        <v>1250</v>
      </c>
      <c r="F42" s="33">
        <v>16250</v>
      </c>
    </row>
    <row r="43" spans="1:6" x14ac:dyDescent="0.35">
      <c r="A43" s="28">
        <v>40</v>
      </c>
      <c r="B43" s="29">
        <v>47209</v>
      </c>
      <c r="C43" s="30">
        <v>0</v>
      </c>
      <c r="D43" s="30">
        <v>0</v>
      </c>
      <c r="E43" s="30">
        <v>0</v>
      </c>
      <c r="F43" s="30">
        <v>16250</v>
      </c>
    </row>
    <row r="44" spans="1:6" x14ac:dyDescent="0.35">
      <c r="A44" s="25">
        <v>41</v>
      </c>
      <c r="B44" s="26">
        <v>47239</v>
      </c>
      <c r="C44" s="27">
        <v>0</v>
      </c>
      <c r="D44" s="27">
        <v>0</v>
      </c>
      <c r="E44" s="27">
        <v>0</v>
      </c>
      <c r="F44" s="27">
        <v>16250</v>
      </c>
    </row>
    <row r="45" spans="1:6" x14ac:dyDescent="0.35">
      <c r="A45" s="31">
        <v>42</v>
      </c>
      <c r="B45" s="32">
        <v>47270</v>
      </c>
      <c r="C45" s="33">
        <v>1250</v>
      </c>
      <c r="D45" s="33">
        <v>0</v>
      </c>
      <c r="E45" s="34">
        <v>1250</v>
      </c>
      <c r="F45" s="33">
        <v>17500</v>
      </c>
    </row>
    <row r="46" spans="1:6" x14ac:dyDescent="0.35">
      <c r="A46" s="25">
        <v>43</v>
      </c>
      <c r="B46" s="26">
        <v>47300</v>
      </c>
      <c r="C46" s="27">
        <v>0</v>
      </c>
      <c r="D46" s="27">
        <v>0</v>
      </c>
      <c r="E46" s="27">
        <v>0</v>
      </c>
      <c r="F46" s="27">
        <v>17500</v>
      </c>
    </row>
    <row r="47" spans="1:6" x14ac:dyDescent="0.35">
      <c r="A47" s="28">
        <v>44</v>
      </c>
      <c r="B47" s="29">
        <v>47331</v>
      </c>
      <c r="C47" s="30">
        <v>0</v>
      </c>
      <c r="D47" s="30">
        <v>0</v>
      </c>
      <c r="E47" s="30">
        <v>0</v>
      </c>
      <c r="F47" s="30">
        <v>17500</v>
      </c>
    </row>
    <row r="48" spans="1:6" x14ac:dyDescent="0.35">
      <c r="A48" s="31">
        <v>45</v>
      </c>
      <c r="B48" s="32">
        <v>47362</v>
      </c>
      <c r="C48" s="33">
        <v>1250</v>
      </c>
      <c r="D48" s="33">
        <v>0</v>
      </c>
      <c r="E48" s="34">
        <v>1250</v>
      </c>
      <c r="F48" s="33">
        <v>18750</v>
      </c>
    </row>
    <row r="49" spans="1:6" x14ac:dyDescent="0.35">
      <c r="A49" s="28">
        <v>46</v>
      </c>
      <c r="B49" s="29">
        <v>47392</v>
      </c>
      <c r="C49" s="30">
        <v>0</v>
      </c>
      <c r="D49" s="30">
        <v>0</v>
      </c>
      <c r="E49" s="30">
        <v>0</v>
      </c>
      <c r="F49" s="30">
        <v>18750</v>
      </c>
    </row>
    <row r="50" spans="1:6" x14ac:dyDescent="0.35">
      <c r="A50" s="25">
        <v>47</v>
      </c>
      <c r="B50" s="26">
        <v>47423</v>
      </c>
      <c r="C50" s="27">
        <v>0</v>
      </c>
      <c r="D50" s="27">
        <v>0</v>
      </c>
      <c r="E50" s="27">
        <v>0</v>
      </c>
      <c r="F50" s="27">
        <v>18750</v>
      </c>
    </row>
    <row r="51" spans="1:6" x14ac:dyDescent="0.35">
      <c r="A51" s="31">
        <v>48</v>
      </c>
      <c r="B51" s="32">
        <v>47453</v>
      </c>
      <c r="C51" s="33">
        <v>1250</v>
      </c>
      <c r="D51" s="33">
        <v>0</v>
      </c>
      <c r="E51" s="34">
        <v>1250</v>
      </c>
      <c r="F51" s="33">
        <v>20000</v>
      </c>
    </row>
    <row r="52" spans="1:6" x14ac:dyDescent="0.35">
      <c r="A52" s="25">
        <v>49</v>
      </c>
      <c r="B52" s="26">
        <v>47484</v>
      </c>
      <c r="C52" s="27">
        <v>0</v>
      </c>
      <c r="D52" s="27">
        <v>0</v>
      </c>
      <c r="E52" s="27">
        <v>0</v>
      </c>
      <c r="F52" s="27">
        <v>20000</v>
      </c>
    </row>
    <row r="53" spans="1:6" x14ac:dyDescent="0.35">
      <c r="A53" s="28">
        <v>50</v>
      </c>
      <c r="B53" s="29">
        <v>47515</v>
      </c>
      <c r="C53" s="30">
        <v>0</v>
      </c>
      <c r="D53" s="30">
        <v>0</v>
      </c>
      <c r="E53" s="30">
        <v>0</v>
      </c>
      <c r="F53" s="30">
        <v>20000</v>
      </c>
    </row>
    <row r="54" spans="1:6" x14ac:dyDescent="0.35">
      <c r="A54" s="31">
        <v>51</v>
      </c>
      <c r="B54" s="32">
        <v>47543</v>
      </c>
      <c r="C54" s="33">
        <v>1250</v>
      </c>
      <c r="D54" s="33">
        <v>0</v>
      </c>
      <c r="E54" s="34">
        <v>1250</v>
      </c>
      <c r="F54" s="33">
        <v>21250</v>
      </c>
    </row>
    <row r="55" spans="1:6" x14ac:dyDescent="0.35">
      <c r="A55" s="28">
        <v>52</v>
      </c>
      <c r="B55" s="29">
        <v>47574</v>
      </c>
      <c r="C55" s="30">
        <v>0</v>
      </c>
      <c r="D55" s="30">
        <v>0</v>
      </c>
      <c r="E55" s="30">
        <v>0</v>
      </c>
      <c r="F55" s="30">
        <v>21250</v>
      </c>
    </row>
    <row r="56" spans="1:6" x14ac:dyDescent="0.35">
      <c r="A56" s="25">
        <v>53</v>
      </c>
      <c r="B56" s="26">
        <v>47604</v>
      </c>
      <c r="C56" s="27">
        <v>0</v>
      </c>
      <c r="D56" s="27">
        <v>0</v>
      </c>
      <c r="E56" s="27">
        <v>0</v>
      </c>
      <c r="F56" s="27">
        <v>21250</v>
      </c>
    </row>
    <row r="57" spans="1:6" x14ac:dyDescent="0.35">
      <c r="A57" s="31">
        <v>54</v>
      </c>
      <c r="B57" s="32">
        <v>47635</v>
      </c>
      <c r="C57" s="33">
        <v>1250</v>
      </c>
      <c r="D57" s="33">
        <v>0</v>
      </c>
      <c r="E57" s="34">
        <v>1250</v>
      </c>
      <c r="F57" s="33">
        <v>22500</v>
      </c>
    </row>
    <row r="58" spans="1:6" x14ac:dyDescent="0.35">
      <c r="A58" s="25">
        <v>55</v>
      </c>
      <c r="B58" s="26">
        <v>47665</v>
      </c>
      <c r="C58" s="27">
        <v>0</v>
      </c>
      <c r="D58" s="27">
        <v>0</v>
      </c>
      <c r="E58" s="27">
        <v>0</v>
      </c>
      <c r="F58" s="27">
        <v>22500</v>
      </c>
    </row>
    <row r="59" spans="1:6" x14ac:dyDescent="0.35">
      <c r="A59" s="28">
        <v>56</v>
      </c>
      <c r="B59" s="29">
        <v>47696</v>
      </c>
      <c r="C59" s="30">
        <v>0</v>
      </c>
      <c r="D59" s="30">
        <v>0</v>
      </c>
      <c r="E59" s="30">
        <v>0</v>
      </c>
      <c r="F59" s="30">
        <v>22500</v>
      </c>
    </row>
    <row r="60" spans="1:6" x14ac:dyDescent="0.35">
      <c r="A60" s="31">
        <v>57</v>
      </c>
      <c r="B60" s="32">
        <v>47727</v>
      </c>
      <c r="C60" s="33">
        <v>1250</v>
      </c>
      <c r="D60" s="33">
        <v>0</v>
      </c>
      <c r="E60" s="34">
        <v>1250</v>
      </c>
      <c r="F60" s="33">
        <v>23750</v>
      </c>
    </row>
    <row r="61" spans="1:6" x14ac:dyDescent="0.35">
      <c r="A61" s="28">
        <v>58</v>
      </c>
      <c r="B61" s="29">
        <v>47757</v>
      </c>
      <c r="C61" s="30">
        <v>0</v>
      </c>
      <c r="D61" s="30">
        <v>0</v>
      </c>
      <c r="E61" s="30">
        <v>0</v>
      </c>
      <c r="F61" s="30">
        <v>23750</v>
      </c>
    </row>
    <row r="62" spans="1:6" x14ac:dyDescent="0.35">
      <c r="A62" s="25">
        <v>59</v>
      </c>
      <c r="B62" s="26">
        <v>47788</v>
      </c>
      <c r="C62" s="27">
        <v>0</v>
      </c>
      <c r="D62" s="27">
        <v>0</v>
      </c>
      <c r="E62" s="27">
        <v>0</v>
      </c>
      <c r="F62" s="27">
        <v>23750</v>
      </c>
    </row>
    <row r="63" spans="1:6" x14ac:dyDescent="0.35">
      <c r="A63" s="35">
        <v>60</v>
      </c>
      <c r="B63" s="36">
        <v>47818</v>
      </c>
      <c r="C63" s="37">
        <v>1250</v>
      </c>
      <c r="D63" s="37">
        <v>100000</v>
      </c>
      <c r="E63" s="38">
        <v>101250</v>
      </c>
      <c r="F63" s="37">
        <v>125000</v>
      </c>
    </row>
    <row r="64" spans="1:6" x14ac:dyDescent="0.35">
      <c r="A64" s="39" t="s">
        <v>105</v>
      </c>
      <c r="B64" s="40"/>
      <c r="C64" s="41">
        <f>SUM(C4:C63)</f>
        <v>25000</v>
      </c>
      <c r="D64" s="41">
        <v>100000</v>
      </c>
      <c r="E64" s="41">
        <f>SUM(E4:E63)</f>
        <v>125000</v>
      </c>
      <c r="F64" s="4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showGridLines="0" workbookViewId="0">
      <pane xSplit="2" ySplit="10" topLeftCell="C11" activePane="bottomRight" state="frozen"/>
      <selection pane="topRight"/>
      <selection pane="bottomLeft"/>
      <selection pane="bottomRight" sqref="A1:I1"/>
    </sheetView>
  </sheetViews>
  <sheetFormatPr defaultRowHeight="14.5" x14ac:dyDescent="0.35"/>
  <cols>
    <col min="1" max="1" width="8" customWidth="1"/>
    <col min="2" max="2" width="12" customWidth="1"/>
    <col min="3" max="9" width="16" customWidth="1"/>
  </cols>
  <sheetData>
    <row r="1" spans="1:9" ht="18.5" x14ac:dyDescent="0.35">
      <c r="A1" s="103" t="s">
        <v>106</v>
      </c>
      <c r="B1" s="104"/>
      <c r="C1" s="104"/>
      <c r="D1" s="104"/>
      <c r="E1" s="104"/>
      <c r="F1" s="104"/>
      <c r="G1" s="104"/>
      <c r="H1" s="104"/>
      <c r="I1" s="105"/>
    </row>
    <row r="2" spans="1:9" x14ac:dyDescent="0.35">
      <c r="A2" s="42" t="s">
        <v>107</v>
      </c>
      <c r="C2" s="43">
        <v>5.1999999999999998E-2</v>
      </c>
      <c r="D2" s="43">
        <v>5.0500000000000003E-2</v>
      </c>
      <c r="E2" s="43">
        <v>5.5E-2</v>
      </c>
      <c r="F2" s="43">
        <v>5.7500000000000002E-2</v>
      </c>
      <c r="G2" s="43">
        <v>6.2E-2</v>
      </c>
      <c r="H2" s="43">
        <v>7.0000000000000007E-2</v>
      </c>
      <c r="I2" s="43">
        <v>0.05</v>
      </c>
    </row>
    <row r="3" spans="1:9" x14ac:dyDescent="0.35">
      <c r="A3" s="42" t="s">
        <v>108</v>
      </c>
      <c r="C3" s="44">
        <v>6</v>
      </c>
      <c r="D3" s="44">
        <v>3</v>
      </c>
      <c r="E3" s="44">
        <v>6</v>
      </c>
      <c r="F3" s="44">
        <v>6</v>
      </c>
      <c r="G3" s="44">
        <v>6</v>
      </c>
      <c r="H3" s="44">
        <v>6</v>
      </c>
      <c r="I3" s="44">
        <v>3</v>
      </c>
    </row>
    <row r="4" spans="1:9" x14ac:dyDescent="0.35">
      <c r="A4" s="42" t="s">
        <v>109</v>
      </c>
      <c r="C4" s="44">
        <v>6</v>
      </c>
      <c r="D4" s="44">
        <v>3</v>
      </c>
      <c r="E4" s="44">
        <v>3</v>
      </c>
      <c r="F4" s="44">
        <v>9</v>
      </c>
      <c r="G4" s="44">
        <v>6</v>
      </c>
      <c r="H4" s="44">
        <v>6</v>
      </c>
      <c r="I4" s="44">
        <v>3</v>
      </c>
    </row>
    <row r="5" spans="1:9" x14ac:dyDescent="0.35">
      <c r="A5" s="42" t="s">
        <v>110</v>
      </c>
      <c r="C5" s="44">
        <v>60</v>
      </c>
      <c r="D5" s="44">
        <v>60</v>
      </c>
      <c r="E5" s="44">
        <v>60</v>
      </c>
      <c r="F5" s="44">
        <v>60</v>
      </c>
      <c r="G5" s="44">
        <v>54</v>
      </c>
      <c r="H5" s="44">
        <v>48</v>
      </c>
      <c r="I5" s="44">
        <v>60</v>
      </c>
    </row>
    <row r="6" spans="1:9" x14ac:dyDescent="0.35">
      <c r="A6" s="42" t="s">
        <v>111</v>
      </c>
      <c r="C6" s="45" t="s">
        <v>112</v>
      </c>
      <c r="D6" s="45" t="s">
        <v>112</v>
      </c>
      <c r="E6" s="45" t="s">
        <v>113</v>
      </c>
      <c r="F6" s="45" t="s">
        <v>113</v>
      </c>
      <c r="G6" s="45" t="s">
        <v>114</v>
      </c>
      <c r="H6" s="45" t="s">
        <v>115</v>
      </c>
      <c r="I6" s="45" t="s">
        <v>116</v>
      </c>
    </row>
    <row r="7" spans="1:9" x14ac:dyDescent="0.35">
      <c r="A7" s="42" t="s">
        <v>117</v>
      </c>
      <c r="C7" s="43">
        <v>5.1999999999999998E-2</v>
      </c>
      <c r="D7" s="43">
        <v>5.0500000000000003E-2</v>
      </c>
      <c r="E7" s="43">
        <v>5.5E-2</v>
      </c>
      <c r="F7" s="43">
        <v>5.7500000000000002E-2</v>
      </c>
      <c r="G7" s="43">
        <v>6.2E-2</v>
      </c>
      <c r="H7" s="43">
        <v>7.0000000000000007E-2</v>
      </c>
      <c r="I7" s="43">
        <v>0.05</v>
      </c>
    </row>
    <row r="8" spans="1:9" x14ac:dyDescent="0.35">
      <c r="A8" s="42" t="s">
        <v>118</v>
      </c>
      <c r="C8" s="46">
        <v>4.0000000000000001E-3</v>
      </c>
      <c r="D8" s="46">
        <v>4.0000000000000001E-3</v>
      </c>
      <c r="E8" s="46">
        <v>1.2999999999999999E-2</v>
      </c>
      <c r="F8" s="46">
        <v>1.2999999999999999E-2</v>
      </c>
      <c r="G8" s="46">
        <v>2.3E-2</v>
      </c>
      <c r="H8" s="46">
        <v>4.4999999999999998E-2</v>
      </c>
      <c r="I8" s="45" t="s">
        <v>119</v>
      </c>
    </row>
    <row r="9" spans="1:9" x14ac:dyDescent="0.35">
      <c r="A9" s="42" t="s">
        <v>120</v>
      </c>
      <c r="C9" s="47">
        <v>1E-3</v>
      </c>
      <c r="D9" s="47">
        <v>1E-3</v>
      </c>
      <c r="E9" s="47">
        <v>1.5E-3</v>
      </c>
      <c r="F9" s="47">
        <v>2E-3</v>
      </c>
      <c r="G9" s="47">
        <v>3.0000000000000001E-3</v>
      </c>
      <c r="H9" s="47">
        <v>5.0000000000000001E-3</v>
      </c>
      <c r="I9" s="45" t="s">
        <v>119</v>
      </c>
    </row>
    <row r="10" spans="1:9" ht="40" customHeight="1" x14ac:dyDescent="0.35">
      <c r="A10" s="48" t="s">
        <v>99</v>
      </c>
      <c r="B10" s="48" t="s">
        <v>100</v>
      </c>
      <c r="C10" s="5" t="s">
        <v>121</v>
      </c>
      <c r="D10" s="5" t="s">
        <v>122</v>
      </c>
      <c r="E10" s="5" t="s">
        <v>123</v>
      </c>
      <c r="F10" s="5" t="s">
        <v>124</v>
      </c>
      <c r="G10" s="5" t="s">
        <v>125</v>
      </c>
      <c r="H10" s="5" t="s">
        <v>126</v>
      </c>
      <c r="I10" s="24" t="s">
        <v>127</v>
      </c>
    </row>
    <row r="11" spans="1:9" x14ac:dyDescent="0.35">
      <c r="A11" s="25">
        <v>1</v>
      </c>
      <c r="B11" s="26">
        <v>46023</v>
      </c>
    </row>
    <row r="12" spans="1:9" x14ac:dyDescent="0.35">
      <c r="A12" s="28">
        <v>2</v>
      </c>
      <c r="B12" s="29">
        <v>46054</v>
      </c>
      <c r="C12" s="49"/>
      <c r="D12" s="49"/>
      <c r="E12" s="49"/>
      <c r="F12" s="49"/>
      <c r="G12" s="49"/>
      <c r="H12" s="49"/>
      <c r="I12" s="49"/>
    </row>
    <row r="13" spans="1:9" x14ac:dyDescent="0.35">
      <c r="A13" s="50">
        <v>3</v>
      </c>
      <c r="B13" s="51">
        <v>46082</v>
      </c>
      <c r="C13" s="52"/>
      <c r="D13" s="53">
        <v>1.2625000000000001E-2</v>
      </c>
      <c r="E13" s="53">
        <v>2.75E-2</v>
      </c>
      <c r="F13" s="52"/>
      <c r="G13" s="52"/>
      <c r="H13" s="52"/>
      <c r="I13" s="53">
        <v>1.2500000000000001E-2</v>
      </c>
    </row>
    <row r="14" spans="1:9" x14ac:dyDescent="0.35">
      <c r="A14" s="28">
        <v>4</v>
      </c>
      <c r="B14" s="29">
        <v>46113</v>
      </c>
      <c r="C14" s="49"/>
      <c r="D14" s="49"/>
      <c r="E14" s="49"/>
      <c r="F14" s="49"/>
      <c r="G14" s="49"/>
      <c r="H14" s="49"/>
      <c r="I14" s="49"/>
    </row>
    <row r="15" spans="1:9" x14ac:dyDescent="0.35">
      <c r="A15" s="25">
        <v>5</v>
      </c>
      <c r="B15" s="26">
        <v>46143</v>
      </c>
    </row>
    <row r="16" spans="1:9" x14ac:dyDescent="0.35">
      <c r="A16" s="50">
        <v>6</v>
      </c>
      <c r="B16" s="51">
        <v>46174</v>
      </c>
      <c r="C16" s="53">
        <v>2.5999999999999999E-2</v>
      </c>
      <c r="D16" s="53">
        <v>1.2625000000000001E-2</v>
      </c>
      <c r="E16" s="52"/>
      <c r="F16" s="52"/>
      <c r="G16" s="53">
        <v>3.1E-2</v>
      </c>
      <c r="H16" s="53">
        <v>3.5000000000000003E-2</v>
      </c>
      <c r="I16" s="53">
        <v>1.2500000000000001E-2</v>
      </c>
    </row>
    <row r="17" spans="1:9" x14ac:dyDescent="0.35">
      <c r="A17" s="25">
        <v>7</v>
      </c>
      <c r="B17" s="26">
        <v>46204</v>
      </c>
    </row>
    <row r="18" spans="1:9" x14ac:dyDescent="0.35">
      <c r="A18" s="28">
        <v>8</v>
      </c>
      <c r="B18" s="29">
        <v>46235</v>
      </c>
      <c r="C18" s="49"/>
      <c r="D18" s="49"/>
      <c r="E18" s="49"/>
      <c r="F18" s="49"/>
      <c r="G18" s="49"/>
      <c r="H18" s="49"/>
      <c r="I18" s="49"/>
    </row>
    <row r="19" spans="1:9" x14ac:dyDescent="0.35">
      <c r="A19" s="50">
        <v>9</v>
      </c>
      <c r="B19" s="51">
        <v>46266</v>
      </c>
      <c r="C19" s="52"/>
      <c r="D19" s="53">
        <v>1.2625000000000001E-2</v>
      </c>
      <c r="E19" s="53">
        <v>2.75E-2</v>
      </c>
      <c r="F19" s="53">
        <v>2.8750000000000001E-2</v>
      </c>
      <c r="G19" s="52"/>
      <c r="H19" s="52"/>
      <c r="I19" s="53">
        <v>1.2500000000000001E-2</v>
      </c>
    </row>
    <row r="20" spans="1:9" x14ac:dyDescent="0.35">
      <c r="A20" s="28">
        <v>10</v>
      </c>
      <c r="B20" s="29">
        <v>46296</v>
      </c>
      <c r="C20" s="49"/>
      <c r="D20" s="49"/>
      <c r="E20" s="49"/>
      <c r="F20" s="49"/>
      <c r="G20" s="49"/>
      <c r="H20" s="49"/>
      <c r="I20" s="49"/>
    </row>
    <row r="21" spans="1:9" x14ac:dyDescent="0.35">
      <c r="A21" s="25">
        <v>11</v>
      </c>
      <c r="B21" s="26">
        <v>46327</v>
      </c>
    </row>
    <row r="22" spans="1:9" x14ac:dyDescent="0.35">
      <c r="A22" s="50">
        <v>12</v>
      </c>
      <c r="B22" s="51">
        <v>46357</v>
      </c>
      <c r="C22" s="53">
        <v>2.5999999999999999E-2</v>
      </c>
      <c r="D22" s="53">
        <v>1.2625000000000001E-2</v>
      </c>
      <c r="E22" s="52"/>
      <c r="F22" s="52"/>
      <c r="G22" s="53">
        <v>3.1E-2</v>
      </c>
      <c r="H22" s="53">
        <v>3.5000000000000003E-2</v>
      </c>
      <c r="I22" s="53">
        <v>1.2500000000000001E-2</v>
      </c>
    </row>
    <row r="23" spans="1:9" x14ac:dyDescent="0.35">
      <c r="A23" s="25">
        <v>13</v>
      </c>
      <c r="B23" s="26">
        <v>46388</v>
      </c>
    </row>
    <row r="24" spans="1:9" x14ac:dyDescent="0.35">
      <c r="A24" s="28">
        <v>14</v>
      </c>
      <c r="B24" s="29">
        <v>46419</v>
      </c>
      <c r="C24" s="49"/>
      <c r="D24" s="49"/>
      <c r="E24" s="49"/>
      <c r="F24" s="49"/>
      <c r="G24" s="49"/>
      <c r="H24" s="49"/>
      <c r="I24" s="49"/>
    </row>
    <row r="25" spans="1:9" x14ac:dyDescent="0.35">
      <c r="A25" s="50">
        <v>15</v>
      </c>
      <c r="B25" s="51">
        <v>46447</v>
      </c>
      <c r="C25" s="52"/>
      <c r="D25" s="53">
        <v>1.2625000000000001E-2</v>
      </c>
      <c r="E25" s="53">
        <v>2.75E-2</v>
      </c>
      <c r="F25" s="53">
        <v>2.8750000000000001E-2</v>
      </c>
      <c r="G25" s="52"/>
      <c r="H25" s="52"/>
      <c r="I25" s="53">
        <v>1.2500000000000001E-2</v>
      </c>
    </row>
    <row r="26" spans="1:9" x14ac:dyDescent="0.35">
      <c r="A26" s="28">
        <v>16</v>
      </c>
      <c r="B26" s="29">
        <v>46478</v>
      </c>
      <c r="C26" s="49"/>
      <c r="D26" s="49"/>
      <c r="E26" s="49"/>
      <c r="F26" s="49"/>
      <c r="G26" s="49"/>
      <c r="H26" s="49"/>
      <c r="I26" s="49"/>
    </row>
    <row r="27" spans="1:9" x14ac:dyDescent="0.35">
      <c r="A27" s="25">
        <v>17</v>
      </c>
      <c r="B27" s="26">
        <v>46508</v>
      </c>
    </row>
    <row r="28" spans="1:9" x14ac:dyDescent="0.35">
      <c r="A28" s="50">
        <v>18</v>
      </c>
      <c r="B28" s="51">
        <v>46539</v>
      </c>
      <c r="C28" s="53">
        <v>2.5999999999999999E-2</v>
      </c>
      <c r="D28" s="53">
        <v>1.2625000000000001E-2</v>
      </c>
      <c r="E28" s="52"/>
      <c r="F28" s="52"/>
      <c r="G28" s="53">
        <v>3.1E-2</v>
      </c>
      <c r="H28" s="53">
        <v>3.5000000000000003E-2</v>
      </c>
      <c r="I28" s="53">
        <v>1.2500000000000001E-2</v>
      </c>
    </row>
    <row r="29" spans="1:9" x14ac:dyDescent="0.35">
      <c r="A29" s="25">
        <v>19</v>
      </c>
      <c r="B29" s="26">
        <v>46569</v>
      </c>
    </row>
    <row r="30" spans="1:9" x14ac:dyDescent="0.35">
      <c r="A30" s="28">
        <v>20</v>
      </c>
      <c r="B30" s="29">
        <v>46600</v>
      </c>
      <c r="C30" s="49"/>
      <c r="D30" s="49"/>
      <c r="E30" s="49"/>
      <c r="F30" s="49"/>
      <c r="G30" s="49"/>
      <c r="H30" s="49"/>
      <c r="I30" s="49"/>
    </row>
    <row r="31" spans="1:9" x14ac:dyDescent="0.35">
      <c r="A31" s="50">
        <v>21</v>
      </c>
      <c r="B31" s="51">
        <v>46631</v>
      </c>
      <c r="C31" s="52"/>
      <c r="D31" s="53">
        <v>1.2625000000000001E-2</v>
      </c>
      <c r="E31" s="53">
        <v>2.75E-2</v>
      </c>
      <c r="F31" s="53">
        <v>2.8750000000000001E-2</v>
      </c>
      <c r="G31" s="52"/>
      <c r="H31" s="52"/>
      <c r="I31" s="53">
        <v>1.2500000000000001E-2</v>
      </c>
    </row>
    <row r="32" spans="1:9" x14ac:dyDescent="0.35">
      <c r="A32" s="28">
        <v>22</v>
      </c>
      <c r="B32" s="29">
        <v>46661</v>
      </c>
      <c r="C32" s="49"/>
      <c r="D32" s="49"/>
      <c r="E32" s="49"/>
      <c r="F32" s="49"/>
      <c r="G32" s="49"/>
      <c r="H32" s="49"/>
      <c r="I32" s="49"/>
    </row>
    <row r="33" spans="1:9" x14ac:dyDescent="0.35">
      <c r="A33" s="25">
        <v>23</v>
      </c>
      <c r="B33" s="26">
        <v>46692</v>
      </c>
    </row>
    <row r="34" spans="1:9" x14ac:dyDescent="0.35">
      <c r="A34" s="50">
        <v>24</v>
      </c>
      <c r="B34" s="51">
        <v>46722</v>
      </c>
      <c r="C34" s="53">
        <v>2.5999999999999999E-2</v>
      </c>
      <c r="D34" s="53">
        <v>1.2625000000000001E-2</v>
      </c>
      <c r="E34" s="52"/>
      <c r="F34" s="52"/>
      <c r="G34" s="53">
        <v>3.1E-2</v>
      </c>
      <c r="H34" s="53">
        <v>3.5000000000000003E-2</v>
      </c>
      <c r="I34" s="53">
        <v>1.2500000000000001E-2</v>
      </c>
    </row>
    <row r="35" spans="1:9" x14ac:dyDescent="0.35">
      <c r="A35" s="25">
        <v>25</v>
      </c>
      <c r="B35" s="26">
        <v>46753</v>
      </c>
    </row>
    <row r="36" spans="1:9" x14ac:dyDescent="0.35">
      <c r="A36" s="28">
        <v>26</v>
      </c>
      <c r="B36" s="29">
        <v>46784</v>
      </c>
      <c r="C36" s="49"/>
      <c r="D36" s="49"/>
      <c r="E36" s="49"/>
      <c r="F36" s="49"/>
      <c r="G36" s="49"/>
      <c r="H36" s="49"/>
      <c r="I36" s="49"/>
    </row>
    <row r="37" spans="1:9" x14ac:dyDescent="0.35">
      <c r="A37" s="50">
        <v>27</v>
      </c>
      <c r="B37" s="51">
        <v>46813</v>
      </c>
      <c r="C37" s="52"/>
      <c r="D37" s="53">
        <v>1.2625000000000001E-2</v>
      </c>
      <c r="E37" s="53">
        <v>2.75E-2</v>
      </c>
      <c r="F37" s="53">
        <v>2.8750000000000001E-2</v>
      </c>
      <c r="G37" s="52"/>
      <c r="H37" s="52"/>
      <c r="I37" s="53">
        <v>1.2500000000000001E-2</v>
      </c>
    </row>
    <row r="38" spans="1:9" x14ac:dyDescent="0.35">
      <c r="A38" s="28">
        <v>28</v>
      </c>
      <c r="B38" s="29">
        <v>46844</v>
      </c>
      <c r="C38" s="49"/>
      <c r="D38" s="49"/>
      <c r="E38" s="49"/>
      <c r="F38" s="49"/>
      <c r="G38" s="49"/>
      <c r="H38" s="49"/>
      <c r="I38" s="49"/>
    </row>
    <row r="39" spans="1:9" x14ac:dyDescent="0.35">
      <c r="A39" s="25">
        <v>29</v>
      </c>
      <c r="B39" s="26">
        <v>46874</v>
      </c>
    </row>
    <row r="40" spans="1:9" x14ac:dyDescent="0.35">
      <c r="A40" s="50">
        <v>30</v>
      </c>
      <c r="B40" s="51">
        <v>46905</v>
      </c>
      <c r="C40" s="53">
        <v>2.5999999999999999E-2</v>
      </c>
      <c r="D40" s="53">
        <v>1.2625000000000001E-2</v>
      </c>
      <c r="E40" s="52"/>
      <c r="F40" s="52"/>
      <c r="G40" s="53">
        <v>3.1E-2</v>
      </c>
      <c r="H40" s="53">
        <v>3.5000000000000003E-2</v>
      </c>
      <c r="I40" s="53">
        <v>1.2500000000000001E-2</v>
      </c>
    </row>
    <row r="41" spans="1:9" x14ac:dyDescent="0.35">
      <c r="A41" s="25">
        <v>31</v>
      </c>
      <c r="B41" s="26">
        <v>46935</v>
      </c>
    </row>
    <row r="42" spans="1:9" x14ac:dyDescent="0.35">
      <c r="A42" s="28">
        <v>32</v>
      </c>
      <c r="B42" s="29">
        <v>46966</v>
      </c>
      <c r="C42" s="49"/>
      <c r="D42" s="49"/>
      <c r="E42" s="49"/>
      <c r="F42" s="49"/>
      <c r="G42" s="49"/>
      <c r="H42" s="49"/>
      <c r="I42" s="49"/>
    </row>
    <row r="43" spans="1:9" x14ac:dyDescent="0.35">
      <c r="A43" s="50">
        <v>33</v>
      </c>
      <c r="B43" s="51">
        <v>46997</v>
      </c>
      <c r="C43" s="52"/>
      <c r="D43" s="53">
        <v>1.2625000000000001E-2</v>
      </c>
      <c r="E43" s="53">
        <v>2.75E-2</v>
      </c>
      <c r="F43" s="53">
        <v>2.8750000000000001E-2</v>
      </c>
      <c r="G43" s="52"/>
      <c r="H43" s="52"/>
      <c r="I43" s="53">
        <v>1.2500000000000001E-2</v>
      </c>
    </row>
    <row r="44" spans="1:9" x14ac:dyDescent="0.35">
      <c r="A44" s="28">
        <v>34</v>
      </c>
      <c r="B44" s="29">
        <v>47027</v>
      </c>
      <c r="C44" s="49"/>
      <c r="D44" s="49"/>
      <c r="E44" s="49"/>
      <c r="F44" s="49"/>
      <c r="G44" s="49"/>
      <c r="H44" s="49"/>
      <c r="I44" s="49"/>
    </row>
    <row r="45" spans="1:9" x14ac:dyDescent="0.35">
      <c r="A45" s="25">
        <v>35</v>
      </c>
      <c r="B45" s="26">
        <v>47058</v>
      </c>
    </row>
    <row r="46" spans="1:9" x14ac:dyDescent="0.35">
      <c r="A46" s="50">
        <v>36</v>
      </c>
      <c r="B46" s="51">
        <v>47088</v>
      </c>
      <c r="C46" s="53">
        <v>2.5999999999999999E-2</v>
      </c>
      <c r="D46" s="53">
        <v>1.2625000000000001E-2</v>
      </c>
      <c r="E46" s="52"/>
      <c r="F46" s="52"/>
      <c r="G46" s="53">
        <v>3.1E-2</v>
      </c>
      <c r="H46" s="53">
        <v>3.5000000000000003E-2</v>
      </c>
      <c r="I46" s="53">
        <v>1.2500000000000001E-2</v>
      </c>
    </row>
    <row r="47" spans="1:9" x14ac:dyDescent="0.35">
      <c r="A47" s="25">
        <v>37</v>
      </c>
      <c r="B47" s="26">
        <v>47119</v>
      </c>
    </row>
    <row r="48" spans="1:9" x14ac:dyDescent="0.35">
      <c r="A48" s="28">
        <v>38</v>
      </c>
      <c r="B48" s="29">
        <v>47150</v>
      </c>
      <c r="C48" s="49"/>
      <c r="D48" s="49"/>
      <c r="E48" s="49"/>
      <c r="F48" s="49"/>
      <c r="G48" s="49"/>
      <c r="H48" s="49"/>
      <c r="I48" s="49"/>
    </row>
    <row r="49" spans="1:9" x14ac:dyDescent="0.35">
      <c r="A49" s="50">
        <v>39</v>
      </c>
      <c r="B49" s="51">
        <v>47178</v>
      </c>
      <c r="C49" s="52"/>
      <c r="D49" s="53">
        <v>1.2625000000000001E-2</v>
      </c>
      <c r="E49" s="53">
        <v>2.75E-2</v>
      </c>
      <c r="F49" s="53">
        <v>2.8750000000000001E-2</v>
      </c>
      <c r="G49" s="52"/>
      <c r="H49" s="52"/>
      <c r="I49" s="53">
        <v>1.2500000000000001E-2</v>
      </c>
    </row>
    <row r="50" spans="1:9" x14ac:dyDescent="0.35">
      <c r="A50" s="28">
        <v>40</v>
      </c>
      <c r="B50" s="29">
        <v>47209</v>
      </c>
      <c r="C50" s="49"/>
      <c r="D50" s="49"/>
      <c r="E50" s="49"/>
      <c r="F50" s="49"/>
      <c r="G50" s="49"/>
      <c r="H50" s="49"/>
      <c r="I50" s="49"/>
    </row>
    <row r="51" spans="1:9" x14ac:dyDescent="0.35">
      <c r="A51" s="25">
        <v>41</v>
      </c>
      <c r="B51" s="26">
        <v>47239</v>
      </c>
    </row>
    <row r="52" spans="1:9" x14ac:dyDescent="0.35">
      <c r="A52" s="50">
        <v>42</v>
      </c>
      <c r="B52" s="51">
        <v>47270</v>
      </c>
      <c r="C52" s="53">
        <v>2.5999999999999999E-2</v>
      </c>
      <c r="D52" s="53">
        <v>1.2625000000000001E-2</v>
      </c>
      <c r="E52" s="52"/>
      <c r="F52" s="52"/>
      <c r="G52" s="53">
        <v>3.1E-2</v>
      </c>
      <c r="H52" s="53">
        <v>3.5000000000000003E-2</v>
      </c>
      <c r="I52" s="53">
        <v>1.2500000000000001E-2</v>
      </c>
    </row>
    <row r="53" spans="1:9" x14ac:dyDescent="0.35">
      <c r="A53" s="25">
        <v>43</v>
      </c>
      <c r="B53" s="26">
        <v>47300</v>
      </c>
    </row>
    <row r="54" spans="1:9" x14ac:dyDescent="0.35">
      <c r="A54" s="28">
        <v>44</v>
      </c>
      <c r="B54" s="29">
        <v>47331</v>
      </c>
      <c r="C54" s="49"/>
      <c r="D54" s="49"/>
      <c r="E54" s="49"/>
      <c r="F54" s="49"/>
      <c r="G54" s="49"/>
      <c r="H54" s="49"/>
      <c r="I54" s="49"/>
    </row>
    <row r="55" spans="1:9" x14ac:dyDescent="0.35">
      <c r="A55" s="50">
        <v>45</v>
      </c>
      <c r="B55" s="51">
        <v>47362</v>
      </c>
      <c r="C55" s="52"/>
      <c r="D55" s="53">
        <v>1.2625000000000001E-2</v>
      </c>
      <c r="E55" s="53">
        <v>2.75E-2</v>
      </c>
      <c r="F55" s="53">
        <v>2.8750000000000001E-2</v>
      </c>
      <c r="G55" s="52"/>
      <c r="H55" s="52"/>
      <c r="I55" s="53">
        <v>1.2500000000000001E-2</v>
      </c>
    </row>
    <row r="56" spans="1:9" x14ac:dyDescent="0.35">
      <c r="A56" s="28">
        <v>46</v>
      </c>
      <c r="B56" s="29">
        <v>47392</v>
      </c>
      <c r="C56" s="49"/>
      <c r="D56" s="49"/>
      <c r="E56" s="49"/>
      <c r="F56" s="49"/>
      <c r="G56" s="49"/>
      <c r="H56" s="49"/>
      <c r="I56" s="49"/>
    </row>
    <row r="57" spans="1:9" x14ac:dyDescent="0.35">
      <c r="A57" s="25">
        <v>47</v>
      </c>
      <c r="B57" s="26">
        <v>47423</v>
      </c>
    </row>
    <row r="58" spans="1:9" x14ac:dyDescent="0.35">
      <c r="A58" s="50">
        <v>48</v>
      </c>
      <c r="B58" s="51">
        <v>47453</v>
      </c>
      <c r="C58" s="53">
        <v>2.5999999999999999E-2</v>
      </c>
      <c r="D58" s="53">
        <v>1.2625000000000001E-2</v>
      </c>
      <c r="E58" s="52"/>
      <c r="F58" s="52"/>
      <c r="G58" s="53">
        <v>3.1E-2</v>
      </c>
      <c r="H58" s="53">
        <v>1.0349999999999999</v>
      </c>
      <c r="I58" s="53">
        <v>1.2500000000000001E-2</v>
      </c>
    </row>
    <row r="59" spans="1:9" x14ac:dyDescent="0.35">
      <c r="A59" s="25">
        <v>49</v>
      </c>
      <c r="B59" s="26">
        <v>47484</v>
      </c>
    </row>
    <row r="60" spans="1:9" x14ac:dyDescent="0.35">
      <c r="A60" s="28">
        <v>50</v>
      </c>
      <c r="B60" s="29">
        <v>47515</v>
      </c>
      <c r="C60" s="49"/>
      <c r="D60" s="49"/>
      <c r="E60" s="49"/>
      <c r="F60" s="49"/>
      <c r="G60" s="49"/>
      <c r="H60" s="49"/>
      <c r="I60" s="49"/>
    </row>
    <row r="61" spans="1:9" x14ac:dyDescent="0.35">
      <c r="A61" s="50">
        <v>51</v>
      </c>
      <c r="B61" s="51">
        <v>47543</v>
      </c>
      <c r="C61" s="52"/>
      <c r="D61" s="53">
        <v>1.2625000000000001E-2</v>
      </c>
      <c r="E61" s="53">
        <v>2.75E-2</v>
      </c>
      <c r="F61" s="53">
        <v>2.8750000000000001E-2</v>
      </c>
      <c r="G61" s="52"/>
      <c r="H61" s="52"/>
      <c r="I61" s="53">
        <v>1.2500000000000001E-2</v>
      </c>
    </row>
    <row r="62" spans="1:9" x14ac:dyDescent="0.35">
      <c r="A62" s="28">
        <v>52</v>
      </c>
      <c r="B62" s="29">
        <v>47574</v>
      </c>
      <c r="C62" s="49"/>
      <c r="D62" s="49"/>
      <c r="E62" s="49"/>
      <c r="F62" s="49"/>
      <c r="G62" s="49"/>
      <c r="H62" s="49"/>
      <c r="I62" s="49"/>
    </row>
    <row r="63" spans="1:9" x14ac:dyDescent="0.35">
      <c r="A63" s="25">
        <v>53</v>
      </c>
      <c r="B63" s="26">
        <v>47604</v>
      </c>
    </row>
    <row r="64" spans="1:9" x14ac:dyDescent="0.35">
      <c r="A64" s="50">
        <v>54</v>
      </c>
      <c r="B64" s="51">
        <v>47635</v>
      </c>
      <c r="C64" s="53">
        <v>2.5999999999999999E-2</v>
      </c>
      <c r="D64" s="53">
        <v>1.2625000000000001E-2</v>
      </c>
      <c r="E64" s="52"/>
      <c r="F64" s="52"/>
      <c r="G64" s="53">
        <v>1.0309999999999999</v>
      </c>
      <c r="H64" s="52"/>
      <c r="I64" s="53">
        <v>1.2500000000000001E-2</v>
      </c>
    </row>
    <row r="65" spans="1:9" x14ac:dyDescent="0.35">
      <c r="A65" s="25">
        <v>55</v>
      </c>
      <c r="B65" s="26">
        <v>47665</v>
      </c>
    </row>
    <row r="66" spans="1:9" x14ac:dyDescent="0.35">
      <c r="A66" s="28">
        <v>56</v>
      </c>
      <c r="B66" s="29">
        <v>47696</v>
      </c>
      <c r="C66" s="49"/>
      <c r="D66" s="49"/>
      <c r="E66" s="49"/>
      <c r="F66" s="49"/>
      <c r="G66" s="49"/>
      <c r="H66" s="49"/>
      <c r="I66" s="49"/>
    </row>
    <row r="67" spans="1:9" x14ac:dyDescent="0.35">
      <c r="A67" s="50">
        <v>57</v>
      </c>
      <c r="B67" s="51">
        <v>47727</v>
      </c>
      <c r="C67" s="52"/>
      <c r="D67" s="53">
        <v>1.2625000000000001E-2</v>
      </c>
      <c r="E67" s="53">
        <v>2.75E-2</v>
      </c>
      <c r="F67" s="53">
        <v>2.8750000000000001E-2</v>
      </c>
      <c r="G67" s="52"/>
      <c r="H67" s="52"/>
      <c r="I67" s="53">
        <v>1.2500000000000001E-2</v>
      </c>
    </row>
    <row r="68" spans="1:9" x14ac:dyDescent="0.35">
      <c r="A68" s="28">
        <v>58</v>
      </c>
      <c r="B68" s="29">
        <v>47757</v>
      </c>
      <c r="C68" s="49"/>
      <c r="D68" s="49"/>
      <c r="E68" s="49"/>
      <c r="F68" s="49"/>
      <c r="G68" s="49"/>
      <c r="H68" s="49"/>
      <c r="I68" s="49"/>
    </row>
    <row r="69" spans="1:9" x14ac:dyDescent="0.35">
      <c r="A69" s="25">
        <v>59</v>
      </c>
      <c r="B69" s="26">
        <v>47788</v>
      </c>
    </row>
    <row r="70" spans="1:9" x14ac:dyDescent="0.35">
      <c r="A70" s="54">
        <v>60</v>
      </c>
      <c r="B70" s="55">
        <v>47818</v>
      </c>
      <c r="C70" s="56">
        <v>1.026</v>
      </c>
      <c r="D70" s="56">
        <v>1.0126250000000001</v>
      </c>
      <c r="E70" s="56">
        <v>1</v>
      </c>
      <c r="F70" s="56">
        <v>1</v>
      </c>
      <c r="G70" s="57"/>
      <c r="H70" s="57"/>
      <c r="I70" s="56">
        <v>1.0125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1"/>
  <sheetViews>
    <sheetView showGridLines="0" tabSelected="1" workbookViewId="0">
      <pane ySplit="5" topLeftCell="A28" activePane="bottomLeft" state="frozen"/>
      <selection pane="bottomLeft" activeCell="K33" sqref="K33"/>
    </sheetView>
  </sheetViews>
  <sheetFormatPr defaultRowHeight="14.5" x14ac:dyDescent="0.35"/>
  <cols>
    <col min="1" max="1" width="21.08984375" bestFit="1" customWidth="1"/>
    <col min="2" max="2" width="20.54296875" bestFit="1" customWidth="1"/>
    <col min="3" max="3" width="11.26953125" bestFit="1" customWidth="1"/>
    <col min="4" max="8" width="8" customWidth="1"/>
    <col min="9" max="9" width="12" customWidth="1"/>
    <col min="10" max="10" width="14" customWidth="1"/>
    <col min="11" max="12" width="10" customWidth="1"/>
    <col min="13" max="13" width="13" customWidth="1"/>
    <col min="14" max="14" width="11" customWidth="1"/>
    <col min="15" max="15" width="12" customWidth="1"/>
    <col min="16" max="16" width="14" customWidth="1"/>
    <col min="17" max="18" width="8" customWidth="1"/>
  </cols>
  <sheetData>
    <row r="1" spans="1:18" ht="18.5" x14ac:dyDescent="0.3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5"/>
    </row>
    <row r="3" spans="1:18" ht="15.5" x14ac:dyDescent="0.35">
      <c r="A3" s="111" t="s">
        <v>128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</row>
    <row r="4" spans="1:18" ht="40" customHeight="1" x14ac:dyDescent="0.35">
      <c r="A4" s="5" t="s">
        <v>129</v>
      </c>
      <c r="B4" s="5" t="s">
        <v>111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  <c r="H4" s="5" t="s">
        <v>135</v>
      </c>
      <c r="I4" s="58" t="s">
        <v>136</v>
      </c>
      <c r="J4" s="59" t="s">
        <v>137</v>
      </c>
      <c r="K4" s="60" t="s">
        <v>138</v>
      </c>
      <c r="L4" s="60" t="s">
        <v>139</v>
      </c>
      <c r="M4" s="60" t="s">
        <v>140</v>
      </c>
      <c r="N4" s="60" t="s">
        <v>141</v>
      </c>
      <c r="O4" s="61" t="s">
        <v>142</v>
      </c>
      <c r="P4" s="61" t="s">
        <v>143</v>
      </c>
      <c r="Q4" s="48" t="s">
        <v>144</v>
      </c>
      <c r="R4" s="24" t="s">
        <v>145</v>
      </c>
    </row>
    <row r="5" spans="1:18" x14ac:dyDescent="0.35">
      <c r="D5" s="62" t="s">
        <v>146</v>
      </c>
      <c r="E5" s="62" t="s">
        <v>147</v>
      </c>
      <c r="F5" s="62" t="s">
        <v>148</v>
      </c>
      <c r="G5" s="62" t="s">
        <v>148</v>
      </c>
      <c r="H5" s="62" t="s">
        <v>146</v>
      </c>
      <c r="I5" s="62" t="s">
        <v>149</v>
      </c>
      <c r="J5" s="62" t="s">
        <v>149</v>
      </c>
    </row>
    <row r="6" spans="1:18" x14ac:dyDescent="0.35">
      <c r="A6" s="63" t="s">
        <v>121</v>
      </c>
      <c r="B6" s="64" t="s">
        <v>112</v>
      </c>
      <c r="C6" s="64" t="s">
        <v>150</v>
      </c>
      <c r="D6" s="65">
        <v>5.1999999999999998E-2</v>
      </c>
      <c r="E6" s="66">
        <v>5.5</v>
      </c>
      <c r="F6" s="66">
        <v>36.5</v>
      </c>
      <c r="G6" s="67">
        <v>4.0000000000000001E-3</v>
      </c>
      <c r="H6" s="67">
        <v>1E-3</v>
      </c>
      <c r="I6" s="30">
        <v>16666.669999999998</v>
      </c>
      <c r="J6" s="68">
        <v>40000.000000648557</v>
      </c>
      <c r="K6" s="69">
        <v>0.12</v>
      </c>
      <c r="L6" s="69">
        <v>0.08</v>
      </c>
      <c r="M6" s="69">
        <v>0.06</v>
      </c>
      <c r="N6" s="69">
        <v>0.05</v>
      </c>
      <c r="O6" s="70">
        <f t="shared" ref="O6:O11" si="0">w_YC*K6+w_MR*L6+w_MOM*M6+w_CS*N6</f>
        <v>8.3499999999999991E-2</v>
      </c>
      <c r="P6" s="71">
        <f t="shared" ref="P6:P11" si="1">D6-FABN_Rate+Beta*O6</f>
        <v>2.7049999999999991E-2</v>
      </c>
      <c r="Q6" s="72" t="s">
        <v>151</v>
      </c>
      <c r="R6" s="28" t="s">
        <v>152</v>
      </c>
    </row>
    <row r="7" spans="1:18" x14ac:dyDescent="0.35">
      <c r="A7" s="73" t="s">
        <v>122</v>
      </c>
      <c r="B7" s="74" t="s">
        <v>112</v>
      </c>
      <c r="C7" s="74" t="s">
        <v>153</v>
      </c>
      <c r="D7" s="11">
        <v>5.0500000000000003E-2</v>
      </c>
      <c r="E7" s="14">
        <v>5.8</v>
      </c>
      <c r="F7" s="14">
        <v>39</v>
      </c>
      <c r="G7" s="75">
        <v>4.0000000000000001E-3</v>
      </c>
      <c r="H7" s="75">
        <v>1E-3</v>
      </c>
      <c r="I7" s="30">
        <v>16666.669999999998</v>
      </c>
      <c r="J7" s="76">
        <v>18164.384805718557</v>
      </c>
      <c r="K7" s="69">
        <v>0.08</v>
      </c>
      <c r="L7" s="69">
        <v>0.38</v>
      </c>
      <c r="M7" s="69">
        <v>0.05</v>
      </c>
      <c r="N7" s="69">
        <v>0.18</v>
      </c>
      <c r="O7" s="70">
        <f t="shared" si="0"/>
        <v>0.19399999999999998</v>
      </c>
      <c r="P7" s="71">
        <f t="shared" si="1"/>
        <v>5.8699999999999988E-2</v>
      </c>
      <c r="Q7" s="72" t="s">
        <v>151</v>
      </c>
      <c r="R7" s="28" t="s">
        <v>152</v>
      </c>
    </row>
    <row r="8" spans="1:18" x14ac:dyDescent="0.35">
      <c r="A8" s="63" t="s">
        <v>123</v>
      </c>
      <c r="B8" s="64" t="s">
        <v>113</v>
      </c>
      <c r="C8" s="64" t="s">
        <v>154</v>
      </c>
      <c r="D8" s="65">
        <v>5.5E-2</v>
      </c>
      <c r="E8" s="66">
        <v>5.3</v>
      </c>
      <c r="F8" s="66">
        <v>35</v>
      </c>
      <c r="G8" s="67">
        <v>1.2999999999999999E-2</v>
      </c>
      <c r="H8" s="67">
        <v>1.5E-3</v>
      </c>
      <c r="I8" s="30">
        <v>16666.669999999998</v>
      </c>
      <c r="J8" s="68">
        <v>19508.251092235558</v>
      </c>
      <c r="K8" s="69">
        <v>0.2</v>
      </c>
      <c r="L8" s="69">
        <v>0.15</v>
      </c>
      <c r="M8" s="69">
        <v>0.18</v>
      </c>
      <c r="N8" s="69">
        <v>0.12</v>
      </c>
      <c r="O8" s="70">
        <f t="shared" si="0"/>
        <v>0.16649999999999998</v>
      </c>
      <c r="P8" s="71">
        <f t="shared" si="1"/>
        <v>5.4949999999999992E-2</v>
      </c>
      <c r="Q8" s="72" t="s">
        <v>151</v>
      </c>
      <c r="R8" s="28" t="s">
        <v>152</v>
      </c>
    </row>
    <row r="9" spans="1:18" x14ac:dyDescent="0.35">
      <c r="A9" s="73" t="s">
        <v>124</v>
      </c>
      <c r="B9" s="74" t="s">
        <v>113</v>
      </c>
      <c r="C9" s="74" t="s">
        <v>155</v>
      </c>
      <c r="D9" s="11">
        <v>5.7500000000000002E-2</v>
      </c>
      <c r="E9" s="14">
        <v>5.5</v>
      </c>
      <c r="F9" s="14">
        <v>36</v>
      </c>
      <c r="G9" s="75">
        <v>1.2999999999999999E-2</v>
      </c>
      <c r="H9" s="75">
        <v>2E-3</v>
      </c>
      <c r="I9" s="30">
        <v>16666.669999999998</v>
      </c>
      <c r="J9" s="76">
        <v>22308.0508188313</v>
      </c>
      <c r="K9" s="69">
        <v>0.3</v>
      </c>
      <c r="L9" s="69">
        <v>0.12</v>
      </c>
      <c r="M9" s="69">
        <v>0.28000000000000003</v>
      </c>
      <c r="N9" s="69">
        <v>0.2</v>
      </c>
      <c r="O9" s="70">
        <f t="shared" si="0"/>
        <v>0.218</v>
      </c>
      <c r="P9" s="71">
        <f t="shared" si="1"/>
        <v>7.2899999999999993E-2</v>
      </c>
      <c r="Q9" s="28" t="s">
        <v>152</v>
      </c>
      <c r="R9" s="28" t="s">
        <v>152</v>
      </c>
    </row>
    <row r="10" spans="1:18" x14ac:dyDescent="0.35">
      <c r="A10" s="63" t="s">
        <v>125</v>
      </c>
      <c r="B10" s="64" t="s">
        <v>114</v>
      </c>
      <c r="C10" s="64" t="s">
        <v>156</v>
      </c>
      <c r="D10" s="65">
        <v>6.2E-2</v>
      </c>
      <c r="E10" s="66">
        <v>5</v>
      </c>
      <c r="F10" s="66">
        <v>34.5</v>
      </c>
      <c r="G10" s="67">
        <v>2.3E-2</v>
      </c>
      <c r="H10" s="67">
        <v>3.0000000000000001E-3</v>
      </c>
      <c r="I10" s="30">
        <v>16666.669999999998</v>
      </c>
      <c r="J10" s="68">
        <v>16.776584325027969</v>
      </c>
      <c r="K10" s="69">
        <v>0.08</v>
      </c>
      <c r="L10" s="69">
        <v>-0.05</v>
      </c>
      <c r="M10" s="69">
        <v>0.22</v>
      </c>
      <c r="N10" s="69">
        <v>0.08</v>
      </c>
      <c r="O10" s="70">
        <f t="shared" si="0"/>
        <v>6.25E-2</v>
      </c>
      <c r="P10" s="71">
        <f t="shared" si="1"/>
        <v>3.0749999999999996E-2</v>
      </c>
      <c r="Q10" s="28" t="s">
        <v>152</v>
      </c>
      <c r="R10" s="28" t="s">
        <v>152</v>
      </c>
    </row>
    <row r="11" spans="1:18" x14ac:dyDescent="0.35">
      <c r="A11" s="73" t="s">
        <v>126</v>
      </c>
      <c r="B11" s="74" t="s">
        <v>115</v>
      </c>
      <c r="C11" s="74" t="s">
        <v>157</v>
      </c>
      <c r="D11" s="11">
        <v>7.0000000000000007E-2</v>
      </c>
      <c r="E11" s="14">
        <v>4.5</v>
      </c>
      <c r="F11" s="14">
        <v>33.5</v>
      </c>
      <c r="G11" s="75">
        <v>4.4999999999999998E-2</v>
      </c>
      <c r="H11" s="75">
        <v>5.0000000000000001E-3</v>
      </c>
      <c r="I11" s="30">
        <v>16666.669999999998</v>
      </c>
      <c r="J11" s="76">
        <v>2.5366982415800385</v>
      </c>
      <c r="K11" s="69">
        <v>-0.15</v>
      </c>
      <c r="L11" s="69">
        <v>-0.2</v>
      </c>
      <c r="M11" s="69">
        <v>-0.15</v>
      </c>
      <c r="N11" s="69">
        <v>-0.28000000000000003</v>
      </c>
      <c r="O11" s="70">
        <f t="shared" si="0"/>
        <v>-0.187</v>
      </c>
      <c r="P11" s="71">
        <f t="shared" si="1"/>
        <v>-3.6099999999999993E-2</v>
      </c>
      <c r="Q11" s="28" t="s">
        <v>152</v>
      </c>
      <c r="R11" s="77" t="s">
        <v>151</v>
      </c>
    </row>
    <row r="14" spans="1:18" ht="15.5" x14ac:dyDescent="0.35">
      <c r="A14" s="122" t="s">
        <v>158</v>
      </c>
      <c r="B14" s="104"/>
      <c r="C14" s="104"/>
      <c r="D14" s="104"/>
      <c r="E14" s="104"/>
      <c r="F14" s="104"/>
      <c r="G14" s="104"/>
      <c r="H14" s="104"/>
      <c r="I14" s="104"/>
      <c r="J14" s="105"/>
    </row>
    <row r="15" spans="1:18" x14ac:dyDescent="0.35">
      <c r="A15" s="112" t="s">
        <v>159</v>
      </c>
      <c r="B15" s="105"/>
      <c r="C15" s="19">
        <f>SUM(J6:J11)</f>
        <v>100000.00000000058</v>
      </c>
      <c r="D15" s="109" t="s">
        <v>160</v>
      </c>
      <c r="E15" s="104"/>
      <c r="F15" s="104"/>
      <c r="G15" s="104"/>
      <c r="H15" s="104"/>
      <c r="I15" s="104"/>
      <c r="J15" s="105"/>
    </row>
    <row r="16" spans="1:18" x14ac:dyDescent="0.35">
      <c r="A16" s="112" t="s">
        <v>161</v>
      </c>
      <c r="B16" s="105"/>
      <c r="C16" s="78">
        <f>SUMPRODUCT(E6:E11,J6:J11)/SUM(J6:J11)</f>
        <v>5.5153674023286445</v>
      </c>
      <c r="D16" s="109" t="s">
        <v>162</v>
      </c>
      <c r="E16" s="104"/>
      <c r="F16" s="104"/>
      <c r="G16" s="104"/>
      <c r="H16" s="104"/>
      <c r="I16" s="104"/>
      <c r="J16" s="105"/>
    </row>
    <row r="17" spans="1:12" x14ac:dyDescent="0.35">
      <c r="A17" s="112" t="s">
        <v>163</v>
      </c>
      <c r="B17" s="105"/>
      <c r="C17" s="21">
        <f>SUMPRODUCT(F6:F11,J6:J11)/SUM(J6:J11)</f>
        <v>36.549533967031529</v>
      </c>
      <c r="D17" s="109" t="s">
        <v>164</v>
      </c>
      <c r="E17" s="104"/>
      <c r="F17" s="104"/>
      <c r="G17" s="104"/>
      <c r="H17" s="104"/>
      <c r="I17" s="104"/>
      <c r="J17" s="105"/>
    </row>
    <row r="18" spans="1:12" x14ac:dyDescent="0.35">
      <c r="A18" s="113" t="s">
        <v>165</v>
      </c>
      <c r="B18" s="105"/>
      <c r="D18" s="115"/>
      <c r="E18" s="104"/>
      <c r="F18" s="104"/>
      <c r="G18" s="104"/>
      <c r="H18" s="104"/>
      <c r="I18" s="104"/>
      <c r="J18" s="105"/>
    </row>
    <row r="19" spans="1:12" x14ac:dyDescent="0.35">
      <c r="A19" s="110" t="s">
        <v>166</v>
      </c>
      <c r="B19" s="105"/>
      <c r="C19" s="79">
        <f>SUMPRODUCT(P6:P11,J6:J11)</f>
        <v>4846.9089954858409</v>
      </c>
      <c r="D19" s="117" t="s">
        <v>167</v>
      </c>
      <c r="E19" s="104"/>
      <c r="F19" s="104"/>
      <c r="G19" s="104"/>
      <c r="H19" s="104"/>
      <c r="I19" s="104"/>
      <c r="J19" s="105"/>
    </row>
    <row r="20" spans="1:12" x14ac:dyDescent="0.35">
      <c r="A20" s="113" t="s">
        <v>168</v>
      </c>
      <c r="B20" s="105"/>
      <c r="C20" s="80">
        <f>SUMPRODUCT(G6:G11,J6:J11)</f>
        <v>776.76947692968429</v>
      </c>
      <c r="D20" s="115" t="s">
        <v>169</v>
      </c>
      <c r="E20" s="104"/>
      <c r="F20" s="104"/>
      <c r="G20" s="104"/>
      <c r="H20" s="104"/>
      <c r="I20" s="104"/>
      <c r="J20" s="105"/>
    </row>
    <row r="21" spans="1:12" x14ac:dyDescent="0.35">
      <c r="A21" s="113" t="s">
        <v>170</v>
      </c>
      <c r="B21" s="105"/>
      <c r="C21" s="80">
        <f>Alpha*ABS(SUMPRODUCT(E6:E11,J6:J11)/SUM(J6:J11)-D_FABN)*SUM(J6:J11)</f>
        <v>307.34804657289243</v>
      </c>
      <c r="D21" s="115" t="s">
        <v>171</v>
      </c>
      <c r="E21" s="104"/>
      <c r="F21" s="104"/>
      <c r="G21" s="104"/>
      <c r="H21" s="104"/>
      <c r="I21" s="104"/>
      <c r="J21" s="105"/>
    </row>
    <row r="22" spans="1:12" x14ac:dyDescent="0.35">
      <c r="A22" s="121" t="s">
        <v>172</v>
      </c>
      <c r="B22" s="105"/>
      <c r="C22" s="81">
        <f>Gamma*(C20+C21)</f>
        <v>130.09410282030919</v>
      </c>
      <c r="D22" s="118" t="s">
        <v>173</v>
      </c>
      <c r="E22" s="104"/>
      <c r="F22" s="104"/>
      <c r="G22" s="104"/>
      <c r="H22" s="104"/>
      <c r="I22" s="104"/>
      <c r="J22" s="105"/>
    </row>
    <row r="23" spans="1:12" x14ac:dyDescent="0.35">
      <c r="A23" s="121" t="s">
        <v>174</v>
      </c>
      <c r="B23" s="105"/>
      <c r="C23" s="81">
        <f>SUMPRODUCT(H6:H11,ABS(J6:J11-I6:I11))</f>
        <v>173.64652483820007</v>
      </c>
      <c r="D23" s="118" t="s">
        <v>175</v>
      </c>
      <c r="E23" s="104"/>
      <c r="F23" s="104"/>
      <c r="G23" s="104"/>
      <c r="H23" s="104"/>
      <c r="I23" s="104"/>
      <c r="J23" s="105"/>
    </row>
    <row r="24" spans="1:12" x14ac:dyDescent="0.35">
      <c r="A24" s="121" t="s">
        <v>176</v>
      </c>
      <c r="B24" s="105"/>
      <c r="C24" s="81">
        <f>SUM(L31:L50)</f>
        <v>2097.2707794674948</v>
      </c>
      <c r="D24" s="118" t="s">
        <v>177</v>
      </c>
      <c r="E24" s="104"/>
      <c r="F24" s="104"/>
      <c r="G24" s="104"/>
      <c r="H24" s="104"/>
      <c r="I24" s="104"/>
      <c r="J24" s="105"/>
    </row>
    <row r="25" spans="1:12" x14ac:dyDescent="0.35">
      <c r="A25" s="113" t="s">
        <v>165</v>
      </c>
      <c r="B25" s="105"/>
      <c r="D25" s="115"/>
      <c r="E25" s="104"/>
      <c r="F25" s="104"/>
      <c r="G25" s="104"/>
      <c r="H25" s="104"/>
      <c r="I25" s="104"/>
      <c r="J25" s="105"/>
    </row>
    <row r="26" spans="1:12" ht="17" x14ac:dyDescent="0.35">
      <c r="A26" s="122" t="s">
        <v>178</v>
      </c>
      <c r="B26" s="105"/>
      <c r="C26" s="82">
        <f>C19-C22-C23-Lambda*C24</f>
        <v>4333.4412898805822</v>
      </c>
      <c r="D26" s="114" t="s">
        <v>179</v>
      </c>
      <c r="E26" s="104"/>
      <c r="F26" s="104"/>
      <c r="G26" s="104"/>
      <c r="H26" s="104"/>
      <c r="I26" s="104"/>
      <c r="J26" s="105"/>
    </row>
    <row r="28" spans="1:12" ht="15.5" x14ac:dyDescent="0.35">
      <c r="A28" s="120" t="s">
        <v>180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5"/>
    </row>
    <row r="29" spans="1:12" x14ac:dyDescent="0.35">
      <c r="A29" s="119" t="s">
        <v>181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12" ht="40" customHeight="1" x14ac:dyDescent="0.35">
      <c r="A30" s="48" t="s">
        <v>99</v>
      </c>
      <c r="B30" s="48" t="s">
        <v>100</v>
      </c>
      <c r="C30" s="24" t="s">
        <v>182</v>
      </c>
      <c r="D30" s="5" t="s">
        <v>121</v>
      </c>
      <c r="E30" s="5" t="s">
        <v>122</v>
      </c>
      <c r="F30" s="5" t="s">
        <v>123</v>
      </c>
      <c r="G30" s="5" t="s">
        <v>124</v>
      </c>
      <c r="H30" s="5" t="s">
        <v>125</v>
      </c>
      <c r="I30" s="5" t="s">
        <v>126</v>
      </c>
      <c r="J30" s="48" t="s">
        <v>183</v>
      </c>
      <c r="K30" s="61" t="s">
        <v>184</v>
      </c>
      <c r="L30" s="60" t="s">
        <v>185</v>
      </c>
    </row>
    <row r="31" spans="1:12" x14ac:dyDescent="0.35">
      <c r="A31" s="25">
        <v>3</v>
      </c>
      <c r="B31" s="26">
        <v>46082</v>
      </c>
      <c r="C31" s="27">
        <f>FABN_Liabilities!E6</f>
        <v>1250</v>
      </c>
      <c r="D31" s="27">
        <f>Bond_Cashflows!C13*$J$6</f>
        <v>0</v>
      </c>
      <c r="E31" s="27">
        <f>Bond_Cashflows!D13*$J$7</f>
        <v>229.32535817219679</v>
      </c>
      <c r="F31" s="27">
        <f>Bond_Cashflows!E13*$J$8</f>
        <v>536.47690503647789</v>
      </c>
      <c r="G31" s="27">
        <f>Bond_Cashflows!F13*$J$9</f>
        <v>0</v>
      </c>
      <c r="H31" s="27">
        <f>Bond_Cashflows!G13*$J$10</f>
        <v>0</v>
      </c>
      <c r="I31" s="27">
        <f>Bond_Cashflows!H13*$J$11</f>
        <v>0</v>
      </c>
      <c r="J31" s="83">
        <f t="shared" ref="J31:J50" si="2">SUM(D31:I31)</f>
        <v>765.80226320867473</v>
      </c>
      <c r="K31" s="83">
        <f t="shared" ref="K31:K50" si="3">J31-C31</f>
        <v>-484.19773679132527</v>
      </c>
      <c r="L31" s="83">
        <f t="shared" ref="L31:L50" si="4">ABS(J31-C31)</f>
        <v>484.19773679132527</v>
      </c>
    </row>
    <row r="32" spans="1:12" x14ac:dyDescent="0.35">
      <c r="A32" s="74">
        <v>6</v>
      </c>
      <c r="B32" s="84">
        <v>46174</v>
      </c>
      <c r="C32" s="19">
        <f>FABN_Liabilities!E9</f>
        <v>1250</v>
      </c>
      <c r="D32" s="19">
        <f>Bond_Cashflows!C16*$J$6</f>
        <v>1040.0000000168625</v>
      </c>
      <c r="E32" s="19">
        <f>Bond_Cashflows!D16*$J$7</f>
        <v>229.32535817219679</v>
      </c>
      <c r="F32" s="19">
        <f>Bond_Cashflows!E16*$J$8</f>
        <v>0</v>
      </c>
      <c r="G32" s="19">
        <f>Bond_Cashflows!F16*$J$9</f>
        <v>0</v>
      </c>
      <c r="H32" s="19">
        <f>Bond_Cashflows!G16*$J$10</f>
        <v>0.52007411407586701</v>
      </c>
      <c r="I32" s="19">
        <f>Bond_Cashflows!H16*$J$11</f>
        <v>8.8784438455301359E-2</v>
      </c>
      <c r="J32" s="85">
        <f t="shared" si="2"/>
        <v>1269.9342167415905</v>
      </c>
      <c r="K32" s="85">
        <f t="shared" si="3"/>
        <v>19.93421674159049</v>
      </c>
      <c r="L32" s="85">
        <f t="shared" si="4"/>
        <v>19.93421674159049</v>
      </c>
    </row>
    <row r="33" spans="1:12" x14ac:dyDescent="0.35">
      <c r="A33" s="25">
        <v>9</v>
      </c>
      <c r="B33" s="26">
        <v>46266</v>
      </c>
      <c r="C33" s="27">
        <f>FABN_Liabilities!E12</f>
        <v>1250</v>
      </c>
      <c r="D33" s="27">
        <f>Bond_Cashflows!C19*$J$6</f>
        <v>0</v>
      </c>
      <c r="E33" s="27">
        <f>Bond_Cashflows!D19*$J$7</f>
        <v>229.32535817219679</v>
      </c>
      <c r="F33" s="27">
        <f>Bond_Cashflows!E19*$J$8</f>
        <v>536.47690503647789</v>
      </c>
      <c r="G33" s="27">
        <f>Bond_Cashflows!F19*$J$9</f>
        <v>641.35646104139994</v>
      </c>
      <c r="H33" s="27">
        <f>Bond_Cashflows!G19*$J$10</f>
        <v>0</v>
      </c>
      <c r="I33" s="27">
        <f>Bond_Cashflows!H19*$J$11</f>
        <v>0</v>
      </c>
      <c r="J33" s="83">
        <f t="shared" si="2"/>
        <v>1407.1587242500746</v>
      </c>
      <c r="K33" s="83">
        <f t="shared" si="3"/>
        <v>157.15872425007456</v>
      </c>
      <c r="L33" s="83">
        <f t="shared" si="4"/>
        <v>157.15872425007456</v>
      </c>
    </row>
    <row r="34" spans="1:12" x14ac:dyDescent="0.35">
      <c r="A34" s="74">
        <v>12</v>
      </c>
      <c r="B34" s="84">
        <v>46357</v>
      </c>
      <c r="C34" s="19">
        <f>FABN_Liabilities!E15</f>
        <v>1250</v>
      </c>
      <c r="D34" s="19">
        <f>Bond_Cashflows!C22*$J$6</f>
        <v>1040.0000000168625</v>
      </c>
      <c r="E34" s="19">
        <f>Bond_Cashflows!D22*$J$7</f>
        <v>229.32535817219679</v>
      </c>
      <c r="F34" s="19">
        <f>Bond_Cashflows!E22*$J$8</f>
        <v>0</v>
      </c>
      <c r="G34" s="19">
        <f>Bond_Cashflows!F22*$J$9</f>
        <v>0</v>
      </c>
      <c r="H34" s="19">
        <f>Bond_Cashflows!G22*$J$10</f>
        <v>0.52007411407586701</v>
      </c>
      <c r="I34" s="19">
        <f>Bond_Cashflows!H22*$J$11</f>
        <v>8.8784438455301359E-2</v>
      </c>
      <c r="J34" s="85">
        <f t="shared" si="2"/>
        <v>1269.9342167415905</v>
      </c>
      <c r="K34" s="85">
        <f t="shared" si="3"/>
        <v>19.93421674159049</v>
      </c>
      <c r="L34" s="85">
        <f t="shared" si="4"/>
        <v>19.93421674159049</v>
      </c>
    </row>
    <row r="35" spans="1:12" x14ac:dyDescent="0.35">
      <c r="A35" s="25">
        <v>15</v>
      </c>
      <c r="B35" s="26">
        <v>46447</v>
      </c>
      <c r="C35" s="27">
        <f>FABN_Liabilities!E18</f>
        <v>1250</v>
      </c>
      <c r="D35" s="27">
        <f>Bond_Cashflows!C25*$J$6</f>
        <v>0</v>
      </c>
      <c r="E35" s="27">
        <f>Bond_Cashflows!D25*$J$7</f>
        <v>229.32535817219679</v>
      </c>
      <c r="F35" s="27">
        <f>Bond_Cashflows!E25*$J$8</f>
        <v>536.47690503647789</v>
      </c>
      <c r="G35" s="27">
        <f>Bond_Cashflows!F25*$J$9</f>
        <v>641.35646104139994</v>
      </c>
      <c r="H35" s="27">
        <f>Bond_Cashflows!G25*$J$10</f>
        <v>0</v>
      </c>
      <c r="I35" s="27">
        <f>Bond_Cashflows!H25*$J$11</f>
        <v>0</v>
      </c>
      <c r="J35" s="83">
        <f t="shared" si="2"/>
        <v>1407.1587242500746</v>
      </c>
      <c r="K35" s="83">
        <f t="shared" si="3"/>
        <v>157.15872425007456</v>
      </c>
      <c r="L35" s="83">
        <f t="shared" si="4"/>
        <v>157.15872425007456</v>
      </c>
    </row>
    <row r="36" spans="1:12" x14ac:dyDescent="0.35">
      <c r="A36" s="74">
        <v>18</v>
      </c>
      <c r="B36" s="84">
        <v>46539</v>
      </c>
      <c r="C36" s="19">
        <f>FABN_Liabilities!E21</f>
        <v>1250</v>
      </c>
      <c r="D36" s="19">
        <f>Bond_Cashflows!C28*$J$6</f>
        <v>1040.0000000168625</v>
      </c>
      <c r="E36" s="19">
        <f>Bond_Cashflows!D28*$J$7</f>
        <v>229.32535817219679</v>
      </c>
      <c r="F36" s="19">
        <f>Bond_Cashflows!E28*$J$8</f>
        <v>0</v>
      </c>
      <c r="G36" s="19">
        <f>Bond_Cashflows!F28*$J$9</f>
        <v>0</v>
      </c>
      <c r="H36" s="19">
        <f>Bond_Cashflows!G28*$J$10</f>
        <v>0.52007411407586701</v>
      </c>
      <c r="I36" s="19">
        <f>Bond_Cashflows!H28*$J$11</f>
        <v>8.8784438455301359E-2</v>
      </c>
      <c r="J36" s="85">
        <f t="shared" si="2"/>
        <v>1269.9342167415905</v>
      </c>
      <c r="K36" s="85">
        <f t="shared" si="3"/>
        <v>19.93421674159049</v>
      </c>
      <c r="L36" s="85">
        <f t="shared" si="4"/>
        <v>19.93421674159049</v>
      </c>
    </row>
    <row r="37" spans="1:12" x14ac:dyDescent="0.35">
      <c r="A37" s="25">
        <v>21</v>
      </c>
      <c r="B37" s="26">
        <v>46631</v>
      </c>
      <c r="C37" s="27">
        <f>FABN_Liabilities!E24</f>
        <v>1250</v>
      </c>
      <c r="D37" s="27">
        <f>Bond_Cashflows!C31*$J$6</f>
        <v>0</v>
      </c>
      <c r="E37" s="27">
        <f>Bond_Cashflows!D31*$J$7</f>
        <v>229.32535817219679</v>
      </c>
      <c r="F37" s="27">
        <f>Bond_Cashflows!E31*$J$8</f>
        <v>536.47690503647789</v>
      </c>
      <c r="G37" s="27">
        <f>Bond_Cashflows!F31*$J$9</f>
        <v>641.35646104139994</v>
      </c>
      <c r="H37" s="27">
        <f>Bond_Cashflows!G31*$J$10</f>
        <v>0</v>
      </c>
      <c r="I37" s="27">
        <f>Bond_Cashflows!H31*$J$11</f>
        <v>0</v>
      </c>
      <c r="J37" s="83">
        <f t="shared" si="2"/>
        <v>1407.1587242500746</v>
      </c>
      <c r="K37" s="83">
        <f t="shared" si="3"/>
        <v>157.15872425007456</v>
      </c>
      <c r="L37" s="83">
        <f t="shared" si="4"/>
        <v>157.15872425007456</v>
      </c>
    </row>
    <row r="38" spans="1:12" x14ac:dyDescent="0.35">
      <c r="A38" s="74">
        <v>24</v>
      </c>
      <c r="B38" s="84">
        <v>46722</v>
      </c>
      <c r="C38" s="19">
        <f>FABN_Liabilities!E27</f>
        <v>1250</v>
      </c>
      <c r="D38" s="19">
        <f>Bond_Cashflows!C34*$J$6</f>
        <v>1040.0000000168625</v>
      </c>
      <c r="E38" s="19">
        <f>Bond_Cashflows!D34*$J$7</f>
        <v>229.32535817219679</v>
      </c>
      <c r="F38" s="19">
        <f>Bond_Cashflows!E34*$J$8</f>
        <v>0</v>
      </c>
      <c r="G38" s="19">
        <f>Bond_Cashflows!F34*$J$9</f>
        <v>0</v>
      </c>
      <c r="H38" s="19">
        <f>Bond_Cashflows!G34*$J$10</f>
        <v>0.52007411407586701</v>
      </c>
      <c r="I38" s="19">
        <f>Bond_Cashflows!H34*$J$11</f>
        <v>8.8784438455301359E-2</v>
      </c>
      <c r="J38" s="85">
        <f t="shared" si="2"/>
        <v>1269.9342167415905</v>
      </c>
      <c r="K38" s="85">
        <f t="shared" si="3"/>
        <v>19.93421674159049</v>
      </c>
      <c r="L38" s="85">
        <f t="shared" si="4"/>
        <v>19.93421674159049</v>
      </c>
    </row>
    <row r="39" spans="1:12" x14ac:dyDescent="0.35">
      <c r="A39" s="25">
        <v>27</v>
      </c>
      <c r="B39" s="26">
        <v>46813</v>
      </c>
      <c r="C39" s="27">
        <f>FABN_Liabilities!E30</f>
        <v>1250</v>
      </c>
      <c r="D39" s="27">
        <f>Bond_Cashflows!C37*$J$6</f>
        <v>0</v>
      </c>
      <c r="E39" s="27">
        <f>Bond_Cashflows!D37*$J$7</f>
        <v>229.32535817219679</v>
      </c>
      <c r="F39" s="27">
        <f>Bond_Cashflows!E37*$J$8</f>
        <v>536.47690503647789</v>
      </c>
      <c r="G39" s="27">
        <f>Bond_Cashflows!F37*$J$9</f>
        <v>641.35646104139994</v>
      </c>
      <c r="H39" s="27">
        <f>Bond_Cashflows!G37*$J$10</f>
        <v>0</v>
      </c>
      <c r="I39" s="27">
        <f>Bond_Cashflows!H37*$J$11</f>
        <v>0</v>
      </c>
      <c r="J39" s="83">
        <f t="shared" si="2"/>
        <v>1407.1587242500746</v>
      </c>
      <c r="K39" s="83">
        <f t="shared" si="3"/>
        <v>157.15872425007456</v>
      </c>
      <c r="L39" s="83">
        <f t="shared" si="4"/>
        <v>157.15872425007456</v>
      </c>
    </row>
    <row r="40" spans="1:12" x14ac:dyDescent="0.35">
      <c r="A40" s="74">
        <v>30</v>
      </c>
      <c r="B40" s="84">
        <v>46905</v>
      </c>
      <c r="C40" s="19">
        <f>FABN_Liabilities!E33</f>
        <v>1250</v>
      </c>
      <c r="D40" s="19">
        <f>Bond_Cashflows!C40*$J$6</f>
        <v>1040.0000000168625</v>
      </c>
      <c r="E40" s="19">
        <f>Bond_Cashflows!D40*$J$7</f>
        <v>229.32535817219679</v>
      </c>
      <c r="F40" s="19">
        <f>Bond_Cashflows!E40*$J$8</f>
        <v>0</v>
      </c>
      <c r="G40" s="19">
        <f>Bond_Cashflows!F40*$J$9</f>
        <v>0</v>
      </c>
      <c r="H40" s="19">
        <f>Bond_Cashflows!G40*$J$10</f>
        <v>0.52007411407586701</v>
      </c>
      <c r="I40" s="19">
        <f>Bond_Cashflows!H40*$J$11</f>
        <v>8.8784438455301359E-2</v>
      </c>
      <c r="J40" s="85">
        <f t="shared" si="2"/>
        <v>1269.9342167415905</v>
      </c>
      <c r="K40" s="85">
        <f t="shared" si="3"/>
        <v>19.93421674159049</v>
      </c>
      <c r="L40" s="85">
        <f t="shared" si="4"/>
        <v>19.93421674159049</v>
      </c>
    </row>
    <row r="41" spans="1:12" x14ac:dyDescent="0.35">
      <c r="A41" s="25">
        <v>33</v>
      </c>
      <c r="B41" s="26">
        <v>46997</v>
      </c>
      <c r="C41" s="27">
        <f>FABN_Liabilities!E36</f>
        <v>1250</v>
      </c>
      <c r="D41" s="27">
        <f>Bond_Cashflows!C43*$J$6</f>
        <v>0</v>
      </c>
      <c r="E41" s="27">
        <f>Bond_Cashflows!D43*$J$7</f>
        <v>229.32535817219679</v>
      </c>
      <c r="F41" s="27">
        <f>Bond_Cashflows!E43*$J$8</f>
        <v>536.47690503647789</v>
      </c>
      <c r="G41" s="27">
        <f>Bond_Cashflows!F43*$J$9</f>
        <v>641.35646104139994</v>
      </c>
      <c r="H41" s="27">
        <f>Bond_Cashflows!G43*$J$10</f>
        <v>0</v>
      </c>
      <c r="I41" s="27">
        <f>Bond_Cashflows!H43*$J$11</f>
        <v>0</v>
      </c>
      <c r="J41" s="83">
        <f t="shared" si="2"/>
        <v>1407.1587242500746</v>
      </c>
      <c r="K41" s="83">
        <f t="shared" si="3"/>
        <v>157.15872425007456</v>
      </c>
      <c r="L41" s="83">
        <f t="shared" si="4"/>
        <v>157.15872425007456</v>
      </c>
    </row>
    <row r="42" spans="1:12" x14ac:dyDescent="0.35">
      <c r="A42" s="74">
        <v>36</v>
      </c>
      <c r="B42" s="84">
        <v>47088</v>
      </c>
      <c r="C42" s="19">
        <f>FABN_Liabilities!E39</f>
        <v>1250</v>
      </c>
      <c r="D42" s="19">
        <f>Bond_Cashflows!C46*$J$6</f>
        <v>1040.0000000168625</v>
      </c>
      <c r="E42" s="19">
        <f>Bond_Cashflows!D46*$J$7</f>
        <v>229.32535817219679</v>
      </c>
      <c r="F42" s="19">
        <f>Bond_Cashflows!E46*$J$8</f>
        <v>0</v>
      </c>
      <c r="G42" s="19">
        <f>Bond_Cashflows!F46*$J$9</f>
        <v>0</v>
      </c>
      <c r="H42" s="19">
        <f>Bond_Cashflows!G46*$J$10</f>
        <v>0.52007411407586701</v>
      </c>
      <c r="I42" s="19">
        <f>Bond_Cashflows!H46*$J$11</f>
        <v>8.8784438455301359E-2</v>
      </c>
      <c r="J42" s="85">
        <f t="shared" si="2"/>
        <v>1269.9342167415905</v>
      </c>
      <c r="K42" s="85">
        <f t="shared" si="3"/>
        <v>19.93421674159049</v>
      </c>
      <c r="L42" s="85">
        <f t="shared" si="4"/>
        <v>19.93421674159049</v>
      </c>
    </row>
    <row r="43" spans="1:12" x14ac:dyDescent="0.35">
      <c r="A43" s="25">
        <v>39</v>
      </c>
      <c r="B43" s="26">
        <v>47178</v>
      </c>
      <c r="C43" s="27">
        <f>FABN_Liabilities!E42</f>
        <v>1250</v>
      </c>
      <c r="D43" s="27">
        <f>Bond_Cashflows!C49*$J$6</f>
        <v>0</v>
      </c>
      <c r="E43" s="27">
        <f>Bond_Cashflows!D49*$J$7</f>
        <v>229.32535817219679</v>
      </c>
      <c r="F43" s="27">
        <f>Bond_Cashflows!E49*$J$8</f>
        <v>536.47690503647789</v>
      </c>
      <c r="G43" s="27">
        <f>Bond_Cashflows!F49*$J$9</f>
        <v>641.35646104139994</v>
      </c>
      <c r="H43" s="27">
        <f>Bond_Cashflows!G49*$J$10</f>
        <v>0</v>
      </c>
      <c r="I43" s="27">
        <f>Bond_Cashflows!H49*$J$11</f>
        <v>0</v>
      </c>
      <c r="J43" s="83">
        <f t="shared" si="2"/>
        <v>1407.1587242500746</v>
      </c>
      <c r="K43" s="83">
        <f t="shared" si="3"/>
        <v>157.15872425007456</v>
      </c>
      <c r="L43" s="83">
        <f t="shared" si="4"/>
        <v>157.15872425007456</v>
      </c>
    </row>
    <row r="44" spans="1:12" x14ac:dyDescent="0.35">
      <c r="A44" s="74">
        <v>42</v>
      </c>
      <c r="B44" s="84">
        <v>47270</v>
      </c>
      <c r="C44" s="19">
        <f>FABN_Liabilities!E45</f>
        <v>1250</v>
      </c>
      <c r="D44" s="19">
        <f>Bond_Cashflows!C52*$J$6</f>
        <v>1040.0000000168625</v>
      </c>
      <c r="E44" s="19">
        <f>Bond_Cashflows!D52*$J$7</f>
        <v>229.32535817219679</v>
      </c>
      <c r="F44" s="19">
        <f>Bond_Cashflows!E52*$J$8</f>
        <v>0</v>
      </c>
      <c r="G44" s="19">
        <f>Bond_Cashflows!F52*$J$9</f>
        <v>0</v>
      </c>
      <c r="H44" s="19">
        <f>Bond_Cashflows!G52*$J$10</f>
        <v>0.52007411407586701</v>
      </c>
      <c r="I44" s="19">
        <f>Bond_Cashflows!H52*$J$11</f>
        <v>8.8784438455301359E-2</v>
      </c>
      <c r="J44" s="85">
        <f t="shared" si="2"/>
        <v>1269.9342167415905</v>
      </c>
      <c r="K44" s="85">
        <f t="shared" si="3"/>
        <v>19.93421674159049</v>
      </c>
      <c r="L44" s="85">
        <f t="shared" si="4"/>
        <v>19.93421674159049</v>
      </c>
    </row>
    <row r="45" spans="1:12" x14ac:dyDescent="0.35">
      <c r="A45" s="25">
        <v>45</v>
      </c>
      <c r="B45" s="26">
        <v>47362</v>
      </c>
      <c r="C45" s="27">
        <f>FABN_Liabilities!E48</f>
        <v>1250</v>
      </c>
      <c r="D45" s="27">
        <f>Bond_Cashflows!C55*$J$6</f>
        <v>0</v>
      </c>
      <c r="E45" s="27">
        <f>Bond_Cashflows!D55*$J$7</f>
        <v>229.32535817219679</v>
      </c>
      <c r="F45" s="27">
        <f>Bond_Cashflows!E55*$J$8</f>
        <v>536.47690503647789</v>
      </c>
      <c r="G45" s="27">
        <f>Bond_Cashflows!F55*$J$9</f>
        <v>641.35646104139994</v>
      </c>
      <c r="H45" s="27">
        <f>Bond_Cashflows!G55*$J$10</f>
        <v>0</v>
      </c>
      <c r="I45" s="27">
        <f>Bond_Cashflows!H55*$J$11</f>
        <v>0</v>
      </c>
      <c r="J45" s="83">
        <f t="shared" si="2"/>
        <v>1407.1587242500746</v>
      </c>
      <c r="K45" s="83">
        <f t="shared" si="3"/>
        <v>157.15872425007456</v>
      </c>
      <c r="L45" s="83">
        <f t="shared" si="4"/>
        <v>157.15872425007456</v>
      </c>
    </row>
    <row r="46" spans="1:12" x14ac:dyDescent="0.35">
      <c r="A46" s="74">
        <v>48</v>
      </c>
      <c r="B46" s="84">
        <v>47453</v>
      </c>
      <c r="C46" s="19">
        <f>FABN_Liabilities!E51</f>
        <v>1250</v>
      </c>
      <c r="D46" s="19">
        <f>Bond_Cashflows!C58*$J$6</f>
        <v>1040.0000000168625</v>
      </c>
      <c r="E46" s="19">
        <f>Bond_Cashflows!D58*$J$7</f>
        <v>229.32535817219679</v>
      </c>
      <c r="F46" s="19">
        <f>Bond_Cashflows!E58*$J$8</f>
        <v>0</v>
      </c>
      <c r="G46" s="19">
        <f>Bond_Cashflows!F58*$J$9</f>
        <v>0</v>
      </c>
      <c r="H46" s="19">
        <f>Bond_Cashflows!G58*$J$10</f>
        <v>0.52007411407586701</v>
      </c>
      <c r="I46" s="19">
        <f>Bond_Cashflows!H58*$J$11</f>
        <v>2.6254826800353395</v>
      </c>
      <c r="J46" s="85">
        <f t="shared" si="2"/>
        <v>1272.4709149831704</v>
      </c>
      <c r="K46" s="85">
        <f t="shared" si="3"/>
        <v>22.47091498317036</v>
      </c>
      <c r="L46" s="85">
        <f t="shared" si="4"/>
        <v>22.47091498317036</v>
      </c>
    </row>
    <row r="47" spans="1:12" x14ac:dyDescent="0.35">
      <c r="A47" s="25">
        <v>51</v>
      </c>
      <c r="B47" s="26">
        <v>47543</v>
      </c>
      <c r="C47" s="27">
        <f>FABN_Liabilities!E54</f>
        <v>1250</v>
      </c>
      <c r="D47" s="27">
        <f>Bond_Cashflows!C61*$J$6</f>
        <v>0</v>
      </c>
      <c r="E47" s="27">
        <f>Bond_Cashflows!D61*$J$7</f>
        <v>229.32535817219679</v>
      </c>
      <c r="F47" s="27">
        <f>Bond_Cashflows!E61*$J$8</f>
        <v>536.47690503647789</v>
      </c>
      <c r="G47" s="27">
        <f>Bond_Cashflows!F61*$J$9</f>
        <v>641.35646104139994</v>
      </c>
      <c r="H47" s="27">
        <f>Bond_Cashflows!G61*$J$10</f>
        <v>0</v>
      </c>
      <c r="I47" s="27">
        <f>Bond_Cashflows!H61*$J$11</f>
        <v>0</v>
      </c>
      <c r="J47" s="83">
        <f t="shared" si="2"/>
        <v>1407.1587242500746</v>
      </c>
      <c r="K47" s="83">
        <f t="shared" si="3"/>
        <v>157.15872425007456</v>
      </c>
      <c r="L47" s="83">
        <f t="shared" si="4"/>
        <v>157.15872425007456</v>
      </c>
    </row>
    <row r="48" spans="1:12" x14ac:dyDescent="0.35">
      <c r="A48" s="74">
        <v>54</v>
      </c>
      <c r="B48" s="84">
        <v>47635</v>
      </c>
      <c r="C48" s="19">
        <f>FABN_Liabilities!E57</f>
        <v>1250</v>
      </c>
      <c r="D48" s="19">
        <f>Bond_Cashflows!C64*$J$6</f>
        <v>1040.0000000168625</v>
      </c>
      <c r="E48" s="19">
        <f>Bond_Cashflows!D64*$J$7</f>
        <v>229.32535817219679</v>
      </c>
      <c r="F48" s="19">
        <f>Bond_Cashflows!E64*$J$8</f>
        <v>0</v>
      </c>
      <c r="G48" s="19">
        <f>Bond_Cashflows!F64*$J$9</f>
        <v>0</v>
      </c>
      <c r="H48" s="19">
        <f>Bond_Cashflows!G64*$J$10</f>
        <v>17.296658439103833</v>
      </c>
      <c r="I48" s="19">
        <f>Bond_Cashflows!H64*$J$11</f>
        <v>0</v>
      </c>
      <c r="J48" s="85">
        <f t="shared" si="2"/>
        <v>1286.622016628163</v>
      </c>
      <c r="K48" s="85">
        <f t="shared" si="3"/>
        <v>36.62201662816301</v>
      </c>
      <c r="L48" s="85">
        <f t="shared" si="4"/>
        <v>36.62201662816301</v>
      </c>
    </row>
    <row r="49" spans="1:12" x14ac:dyDescent="0.35">
      <c r="A49" s="25">
        <v>57</v>
      </c>
      <c r="B49" s="26">
        <v>47727</v>
      </c>
      <c r="C49" s="27">
        <f>FABN_Liabilities!E60</f>
        <v>1250</v>
      </c>
      <c r="D49" s="27">
        <f>Bond_Cashflows!C67*$J$6</f>
        <v>0</v>
      </c>
      <c r="E49" s="27">
        <f>Bond_Cashflows!D67*$J$7</f>
        <v>229.32535817219679</v>
      </c>
      <c r="F49" s="27">
        <f>Bond_Cashflows!E67*$J$8</f>
        <v>536.47690503647789</v>
      </c>
      <c r="G49" s="27">
        <f>Bond_Cashflows!F67*$J$9</f>
        <v>641.35646104139994</v>
      </c>
      <c r="H49" s="27">
        <f>Bond_Cashflows!G67*$J$10</f>
        <v>0</v>
      </c>
      <c r="I49" s="27">
        <f>Bond_Cashflows!H67*$J$11</f>
        <v>0</v>
      </c>
      <c r="J49" s="83">
        <f t="shared" si="2"/>
        <v>1407.1587242500746</v>
      </c>
      <c r="K49" s="83">
        <f t="shared" si="3"/>
        <v>157.15872425007456</v>
      </c>
      <c r="L49" s="83">
        <f t="shared" si="4"/>
        <v>157.15872425007456</v>
      </c>
    </row>
    <row r="50" spans="1:12" x14ac:dyDescent="0.35">
      <c r="A50" s="86">
        <v>60</v>
      </c>
      <c r="B50" s="87">
        <v>47818</v>
      </c>
      <c r="C50" s="88">
        <f>FABN_Liabilities!E63</f>
        <v>101250</v>
      </c>
      <c r="D50" s="88">
        <f>Bond_Cashflows!C70*$J$6</f>
        <v>41040.000000665423</v>
      </c>
      <c r="E50" s="88">
        <f>Bond_Cashflows!D70*$J$7</f>
        <v>18393.710163890755</v>
      </c>
      <c r="F50" s="88">
        <f>Bond_Cashflows!E70*$J$8</f>
        <v>19508.251092235558</v>
      </c>
      <c r="G50" s="88">
        <f>Bond_Cashflows!F70*$J$9</f>
        <v>22308.0508188313</v>
      </c>
      <c r="H50" s="88">
        <f>Bond_Cashflows!G70*$J$10</f>
        <v>0</v>
      </c>
      <c r="I50" s="88">
        <f>Bond_Cashflows!H70*$J$11</f>
        <v>0</v>
      </c>
      <c r="J50" s="88">
        <f t="shared" si="2"/>
        <v>101250.01207562303</v>
      </c>
      <c r="K50" s="88">
        <f t="shared" si="3"/>
        <v>1.2075623031705618E-2</v>
      </c>
      <c r="L50" s="88">
        <f t="shared" si="4"/>
        <v>1.2075623031705618E-2</v>
      </c>
    </row>
    <row r="51" spans="1:12" x14ac:dyDescent="0.35">
      <c r="A51" s="89" t="s">
        <v>105</v>
      </c>
      <c r="B51" s="90"/>
      <c r="C51" s="91">
        <f>SUM(C31:C50)</f>
        <v>125000</v>
      </c>
      <c r="D51" s="90"/>
      <c r="E51" s="90"/>
      <c r="F51" s="90"/>
      <c r="G51" s="90"/>
      <c r="H51" s="90"/>
      <c r="I51" s="90"/>
      <c r="J51" s="91">
        <f>SUM(J31:J50)</f>
        <v>126128.87530588484</v>
      </c>
      <c r="K51" s="91">
        <f>SUM(K31:K50)</f>
        <v>1128.8753058848442</v>
      </c>
      <c r="L51" s="91">
        <f>SUM(L31:L50)</f>
        <v>2097.2707794674948</v>
      </c>
    </row>
    <row r="53" spans="1:12" ht="15.5" x14ac:dyDescent="0.35">
      <c r="A53" s="111" t="s">
        <v>186</v>
      </c>
      <c r="B53" s="104"/>
      <c r="C53" s="104"/>
      <c r="D53" s="104"/>
      <c r="E53" s="104"/>
      <c r="F53" s="104"/>
      <c r="G53" s="104"/>
      <c r="H53" s="104"/>
      <c r="I53" s="104"/>
      <c r="J53" s="105"/>
    </row>
    <row r="54" spans="1:12" ht="24" x14ac:dyDescent="0.35">
      <c r="A54" s="48" t="s">
        <v>187</v>
      </c>
      <c r="B54" s="48" t="s">
        <v>188</v>
      </c>
      <c r="C54" s="60" t="s">
        <v>189</v>
      </c>
      <c r="D54" s="48" t="s">
        <v>190</v>
      </c>
      <c r="E54" s="48" t="s">
        <v>191</v>
      </c>
      <c r="F54" s="48" t="s">
        <v>192</v>
      </c>
      <c r="G54" s="48" t="s">
        <v>47</v>
      </c>
    </row>
    <row r="55" spans="1:12" x14ac:dyDescent="0.35">
      <c r="A55" s="92">
        <v>1</v>
      </c>
      <c r="B55" s="73" t="s">
        <v>193</v>
      </c>
      <c r="C55" s="19">
        <f>SUM(J6:J11)</f>
        <v>100000.00000000058</v>
      </c>
      <c r="D55" s="92" t="s">
        <v>194</v>
      </c>
      <c r="E55" s="19">
        <f>NOTIONAL_NR</f>
        <v>100000</v>
      </c>
      <c r="F55" s="93" t="str">
        <f>IF(ABS(C55-E55)&lt;1,"✓ PASS","✗ FAIL")</f>
        <v>✓ PASS</v>
      </c>
      <c r="G55" s="109" t="s">
        <v>195</v>
      </c>
      <c r="H55" s="104"/>
      <c r="I55" s="104"/>
      <c r="J55" s="105"/>
    </row>
    <row r="56" spans="1:12" x14ac:dyDescent="0.35">
      <c r="A56" s="94">
        <v>2</v>
      </c>
      <c r="B56" s="63" t="s">
        <v>196</v>
      </c>
      <c r="C56" s="20">
        <f>(C_curr+SUMPRODUCT(D6:D11-FABN_Rate,J6:J11))/C_min</f>
        <v>2.0590309803305504</v>
      </c>
      <c r="D56" s="94" t="s">
        <v>197</v>
      </c>
      <c r="E56" s="20">
        <f>RBC_bar</f>
        <v>1</v>
      </c>
      <c r="F56" s="93" t="str">
        <f>IF(C56&gt;=E56-0.0001,"✓ PASS","✗ FAIL")</f>
        <v>✓ PASS</v>
      </c>
      <c r="G56" s="107" t="s">
        <v>198</v>
      </c>
      <c r="H56" s="104"/>
      <c r="I56" s="104"/>
      <c r="J56" s="105"/>
    </row>
    <row r="57" spans="1:12" x14ac:dyDescent="0.35">
      <c r="A57" s="92">
        <v>3</v>
      </c>
      <c r="B57" s="73" t="s">
        <v>199</v>
      </c>
      <c r="C57" s="21">
        <f>SUMPRODUCT(E6:E11,J6:J11)/SUM(J6:J11)</f>
        <v>5.5153674023286445</v>
      </c>
      <c r="D57" s="92" t="s">
        <v>200</v>
      </c>
      <c r="E57" s="21">
        <f>D_FABN+Eps_D</f>
        <v>6.25</v>
      </c>
      <c r="F57" s="93" t="str">
        <f>IF(C57&lt;=E57+0.0001,"✓ PASS","✗ FAIL")</f>
        <v>✓ PASS</v>
      </c>
      <c r="G57" s="109" t="s">
        <v>201</v>
      </c>
      <c r="H57" s="104"/>
      <c r="I57" s="104"/>
      <c r="J57" s="105"/>
    </row>
    <row r="58" spans="1:12" x14ac:dyDescent="0.35">
      <c r="A58" s="94">
        <v>4</v>
      </c>
      <c r="B58" s="63" t="s">
        <v>202</v>
      </c>
      <c r="C58" s="13">
        <f>SUMPRODUCT(E6:E11,J6:J11)/SUM(J6:J11)</f>
        <v>5.5153674023286445</v>
      </c>
      <c r="D58" s="94" t="s">
        <v>197</v>
      </c>
      <c r="E58" s="13">
        <f>D_FABN-Eps_D</f>
        <v>4.75</v>
      </c>
      <c r="F58" s="93" t="str">
        <f>IF(C58&gt;=E58-0.0001,"✓ PASS","✗ FAIL")</f>
        <v>✓ PASS</v>
      </c>
      <c r="G58" s="107" t="s">
        <v>203</v>
      </c>
      <c r="H58" s="104"/>
      <c r="I58" s="104"/>
      <c r="J58" s="105"/>
    </row>
    <row r="59" spans="1:12" x14ac:dyDescent="0.35">
      <c r="A59" s="92">
        <v>5</v>
      </c>
      <c r="B59" s="73" t="s">
        <v>204</v>
      </c>
      <c r="C59" s="21">
        <f>SUMPRODUCT(F6:F11,J6:J11)/SUM(J6:J11)</f>
        <v>36.549533967031529</v>
      </c>
      <c r="D59" s="92" t="s">
        <v>197</v>
      </c>
      <c r="E59" s="21">
        <f>Conv_FABN*(1+Delta)</f>
        <v>33.99</v>
      </c>
      <c r="F59" s="93" t="str">
        <f>IF(C59&gt;=E59-0.0001,"✓ PASS","✗ FAIL")</f>
        <v>✓ PASS</v>
      </c>
      <c r="G59" s="109" t="s">
        <v>205</v>
      </c>
      <c r="H59" s="104"/>
      <c r="I59" s="104"/>
      <c r="J59" s="105"/>
    </row>
    <row r="60" spans="1:12" x14ac:dyDescent="0.35">
      <c r="A60" s="94">
        <v>6</v>
      </c>
      <c r="B60" s="63" t="s">
        <v>206</v>
      </c>
      <c r="C60" s="95">
        <f>SUMIF(R6:R11,"Y",J6:J11)/SUM(J6:J11)</f>
        <v>2.5366982415800238E-5</v>
      </c>
      <c r="D60" s="94" t="s">
        <v>200</v>
      </c>
      <c r="E60" s="95">
        <f>Omega</f>
        <v>0.2</v>
      </c>
      <c r="F60" s="93" t="str">
        <f>IF(C60&lt;=E60+0.0001,"✓ PASS","✗ FAIL")</f>
        <v>✓ PASS</v>
      </c>
      <c r="G60" s="107" t="s">
        <v>207</v>
      </c>
      <c r="H60" s="104"/>
      <c r="I60" s="104"/>
      <c r="J60" s="105"/>
    </row>
    <row r="61" spans="1:12" x14ac:dyDescent="0.35">
      <c r="A61" s="92">
        <v>7</v>
      </c>
      <c r="B61" s="73" t="s">
        <v>208</v>
      </c>
      <c r="C61" s="96">
        <f>MAX(SUMIF(C6:C11,C6,J6:J11),SUMIF(C6:C11,C7,J6:J11),SUMIF(C6:C11,C8,J6:J11),SUMIF(C6:C11,C9,J6:J11),SUMIF(C6:C11,C10,J6:J11),SUMIF(C6:C11,C11,J6:J11))/SUM(J6:J11)</f>
        <v>0.40000000000648323</v>
      </c>
      <c r="D61" s="92" t="s">
        <v>200</v>
      </c>
      <c r="E61" s="96">
        <f>Eta</f>
        <v>0.4</v>
      </c>
      <c r="F61" s="93" t="str">
        <f>IF(C61&lt;=E61+0.0001,"✓ PASS","✗ FAIL")</f>
        <v>✓ PASS</v>
      </c>
      <c r="G61" s="109" t="s">
        <v>209</v>
      </c>
      <c r="H61" s="104"/>
      <c r="I61" s="104"/>
      <c r="J61" s="105"/>
    </row>
    <row r="62" spans="1:12" x14ac:dyDescent="0.35">
      <c r="A62" s="94">
        <v>8</v>
      </c>
      <c r="B62" s="63" t="s">
        <v>210</v>
      </c>
      <c r="C62" s="95">
        <f>SUMIF(Q6:Q11,"Y",J6:J11)/SUM(J6:J11)</f>
        <v>0.77672635898602227</v>
      </c>
      <c r="D62" s="94" t="s">
        <v>197</v>
      </c>
      <c r="E62" s="95">
        <f>Kappa</f>
        <v>0.35</v>
      </c>
      <c r="F62" s="93" t="str">
        <f>IF(C62&gt;=E62-0.0001,"✓ PASS","✗ FAIL")</f>
        <v>✓ PASS</v>
      </c>
      <c r="G62" s="107" t="s">
        <v>211</v>
      </c>
      <c r="H62" s="104"/>
      <c r="I62" s="104"/>
      <c r="J62" s="105"/>
    </row>
    <row r="63" spans="1:12" x14ac:dyDescent="0.35">
      <c r="A63" s="92">
        <v>9</v>
      </c>
      <c r="B63" s="73" t="s">
        <v>212</v>
      </c>
      <c r="C63" s="19">
        <f>MIN(J6:J11)</f>
        <v>2.5366982415800385</v>
      </c>
      <c r="D63" s="92" t="s">
        <v>197</v>
      </c>
      <c r="E63" s="19">
        <v>0</v>
      </c>
      <c r="F63" s="93" t="str">
        <f>IF(C63&gt;=E63-0.0001,"✓ PASS","✗ FAIL")</f>
        <v>✓ PASS</v>
      </c>
      <c r="G63" s="109" t="s">
        <v>213</v>
      </c>
      <c r="H63" s="104"/>
      <c r="I63" s="104"/>
      <c r="J63" s="105"/>
    </row>
    <row r="66" spans="1:6" ht="15.5" x14ac:dyDescent="0.35">
      <c r="A66" s="111" t="s">
        <v>214</v>
      </c>
      <c r="B66" s="104"/>
      <c r="C66" s="104"/>
      <c r="D66" s="104"/>
      <c r="E66" s="104"/>
      <c r="F66" s="105"/>
    </row>
    <row r="67" spans="1:6" x14ac:dyDescent="0.35">
      <c r="A67" s="97" t="s">
        <v>215</v>
      </c>
      <c r="B67" s="97" t="s">
        <v>46</v>
      </c>
      <c r="C67" s="97" t="s">
        <v>216</v>
      </c>
    </row>
    <row r="68" spans="1:6" x14ac:dyDescent="0.35">
      <c r="A68" s="98" t="s">
        <v>217</v>
      </c>
      <c r="B68" s="99">
        <f>C26</f>
        <v>4333.4412898805822</v>
      </c>
      <c r="C68" s="116" t="s">
        <v>218</v>
      </c>
      <c r="D68" s="104"/>
      <c r="E68" s="104"/>
      <c r="F68" s="105"/>
    </row>
    <row r="69" spans="1:6" x14ac:dyDescent="0.35">
      <c r="A69" s="7" t="s">
        <v>219</v>
      </c>
      <c r="B69" s="100">
        <f>C19</f>
        <v>4846.9089954858409</v>
      </c>
      <c r="C69" s="106" t="s">
        <v>167</v>
      </c>
      <c r="D69" s="104"/>
      <c r="E69" s="104"/>
      <c r="F69" s="105"/>
    </row>
    <row r="70" spans="1:6" x14ac:dyDescent="0.35">
      <c r="A70" s="10" t="s">
        <v>220</v>
      </c>
      <c r="B70" s="101">
        <f>C22</f>
        <v>130.09410282030919</v>
      </c>
      <c r="C70" s="108" t="s">
        <v>221</v>
      </c>
      <c r="D70" s="104"/>
      <c r="E70" s="104"/>
      <c r="F70" s="105"/>
    </row>
    <row r="71" spans="1:6" x14ac:dyDescent="0.35">
      <c r="A71" s="7" t="s">
        <v>222</v>
      </c>
      <c r="B71" s="100">
        <f>C23</f>
        <v>173.64652483820007</v>
      </c>
      <c r="C71" s="106" t="s">
        <v>223</v>
      </c>
      <c r="D71" s="104"/>
      <c r="E71" s="104"/>
      <c r="F71" s="105"/>
    </row>
    <row r="72" spans="1:6" x14ac:dyDescent="0.35">
      <c r="A72" s="10" t="s">
        <v>224</v>
      </c>
      <c r="B72" s="101">
        <f>Lambda*C24</f>
        <v>209.72707794674949</v>
      </c>
      <c r="C72" s="108" t="s">
        <v>225</v>
      </c>
      <c r="D72" s="104"/>
      <c r="E72" s="104"/>
      <c r="F72" s="105"/>
    </row>
    <row r="73" spans="1:6" x14ac:dyDescent="0.35">
      <c r="A73" s="7" t="s">
        <v>226</v>
      </c>
      <c r="B73" s="8">
        <f>SUM(J6:J11)</f>
        <v>100000.00000000058</v>
      </c>
      <c r="C73" s="106" t="s">
        <v>227</v>
      </c>
      <c r="D73" s="104"/>
      <c r="E73" s="104"/>
      <c r="F73" s="105"/>
    </row>
    <row r="74" spans="1:6" x14ac:dyDescent="0.35">
      <c r="A74" s="10" t="s">
        <v>228</v>
      </c>
      <c r="B74" s="78">
        <f>SUMPRODUCT(E6:E11,J6:J11)/SUM(J6:J11)</f>
        <v>5.5153674023286445</v>
      </c>
      <c r="C74" s="108" t="s">
        <v>229</v>
      </c>
      <c r="D74" s="104"/>
      <c r="E74" s="104"/>
      <c r="F74" s="105"/>
    </row>
    <row r="75" spans="1:6" x14ac:dyDescent="0.35">
      <c r="A75" s="7" t="s">
        <v>230</v>
      </c>
      <c r="B75" s="13">
        <f>SUMPRODUCT(F6:F11,J6:J11)/SUM(J6:J11)</f>
        <v>36.549533967031529</v>
      </c>
      <c r="C75" s="106" t="s">
        <v>231</v>
      </c>
      <c r="D75" s="104"/>
      <c r="E75" s="104"/>
      <c r="F75" s="105"/>
    </row>
    <row r="76" spans="1:6" x14ac:dyDescent="0.35">
      <c r="A76" s="10" t="s">
        <v>232</v>
      </c>
      <c r="B76" s="101">
        <f>SUMPRODUCT(G6:G11,J6:J11)</f>
        <v>776.76947692968429</v>
      </c>
      <c r="C76" s="108" t="s">
        <v>233</v>
      </c>
      <c r="D76" s="104"/>
      <c r="E76" s="104"/>
      <c r="F76" s="105"/>
    </row>
    <row r="77" spans="1:6" x14ac:dyDescent="0.35">
      <c r="A77" s="7" t="s">
        <v>234</v>
      </c>
      <c r="B77" s="95">
        <f>SUMIF(R6:R11,"Y",J6:J11)/SUM(J6:J11)</f>
        <v>2.5366982415800238E-5</v>
      </c>
      <c r="C77" s="106" t="s">
        <v>235</v>
      </c>
      <c r="D77" s="104"/>
      <c r="E77" s="104"/>
      <c r="F77" s="105"/>
    </row>
    <row r="78" spans="1:6" x14ac:dyDescent="0.35">
      <c r="A78" s="10" t="s">
        <v>236</v>
      </c>
      <c r="B78" s="96">
        <f>SUMIF(Q6:Q11,"Y",J6:J11)/SUM(J6:J11)</f>
        <v>0.77672635898602227</v>
      </c>
      <c r="C78" s="108" t="s">
        <v>237</v>
      </c>
      <c r="D78" s="104"/>
      <c r="E78" s="104"/>
      <c r="F78" s="105"/>
    </row>
    <row r="79" spans="1:6" x14ac:dyDescent="0.35">
      <c r="A79" s="7" t="s">
        <v>238</v>
      </c>
      <c r="B79" s="8">
        <f>SUM(J31:J50)</f>
        <v>126128.87530588484</v>
      </c>
      <c r="C79" s="106" t="s">
        <v>239</v>
      </c>
      <c r="D79" s="104"/>
      <c r="E79" s="104"/>
      <c r="F79" s="105"/>
    </row>
    <row r="80" spans="1:6" x14ac:dyDescent="0.35">
      <c r="A80" s="10" t="s">
        <v>240</v>
      </c>
      <c r="B80" s="19">
        <f>SUM(C31:C50)</f>
        <v>125000</v>
      </c>
      <c r="C80" s="108" t="s">
        <v>241</v>
      </c>
      <c r="D80" s="104"/>
      <c r="E80" s="104"/>
      <c r="F80" s="105"/>
    </row>
    <row r="81" spans="1:6" x14ac:dyDescent="0.35">
      <c r="A81" s="98" t="s">
        <v>242</v>
      </c>
      <c r="B81" s="102">
        <f>SUM(K31:K50)</f>
        <v>1128.8753058848442</v>
      </c>
      <c r="C81" s="116" t="s">
        <v>243</v>
      </c>
      <c r="D81" s="104"/>
      <c r="E81" s="104"/>
      <c r="F81" s="105"/>
    </row>
  </sheetData>
  <mergeCells count="54">
    <mergeCell ref="A14:J14"/>
    <mergeCell ref="A15:B15"/>
    <mergeCell ref="D18:J18"/>
    <mergeCell ref="A66:F66"/>
    <mergeCell ref="G55:J55"/>
    <mergeCell ref="D25:J25"/>
    <mergeCell ref="A53:J53"/>
    <mergeCell ref="A26:B26"/>
    <mergeCell ref="A21:B21"/>
    <mergeCell ref="G62:J62"/>
    <mergeCell ref="A20:B20"/>
    <mergeCell ref="C81:F81"/>
    <mergeCell ref="D15:J15"/>
    <mergeCell ref="G63:J63"/>
    <mergeCell ref="D23:J23"/>
    <mergeCell ref="D22:J22"/>
    <mergeCell ref="A29:L29"/>
    <mergeCell ref="C79:F79"/>
    <mergeCell ref="C73:F73"/>
    <mergeCell ref="A28:L28"/>
    <mergeCell ref="D21:J21"/>
    <mergeCell ref="A17:B17"/>
    <mergeCell ref="A23:B23"/>
    <mergeCell ref="G57:J57"/>
    <mergeCell ref="A22:B22"/>
    <mergeCell ref="C70:F70"/>
    <mergeCell ref="A24:B24"/>
    <mergeCell ref="A18:B18"/>
    <mergeCell ref="D19:J19"/>
    <mergeCell ref="G61:J61"/>
    <mergeCell ref="C74:F74"/>
    <mergeCell ref="C72:F72"/>
    <mergeCell ref="D24:J24"/>
    <mergeCell ref="C69:F69"/>
    <mergeCell ref="C77:F77"/>
    <mergeCell ref="D20:J20"/>
    <mergeCell ref="C68:F68"/>
    <mergeCell ref="G59:J59"/>
    <mergeCell ref="A1:R1"/>
    <mergeCell ref="C71:F71"/>
    <mergeCell ref="G58:J58"/>
    <mergeCell ref="C76:F76"/>
    <mergeCell ref="C80:F80"/>
    <mergeCell ref="C75:F75"/>
    <mergeCell ref="D17:J17"/>
    <mergeCell ref="A19:B19"/>
    <mergeCell ref="D16:J16"/>
    <mergeCell ref="A3:R3"/>
    <mergeCell ref="G60:J60"/>
    <mergeCell ref="A16:B16"/>
    <mergeCell ref="C78:F78"/>
    <mergeCell ref="A25:B25"/>
    <mergeCell ref="D26:J26"/>
    <mergeCell ref="G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34</vt:i4>
      </vt:variant>
    </vt:vector>
  </HeadingPairs>
  <TitlesOfParts>
    <vt:vector size="39" baseType="lpstr">
      <vt:lpstr>Instructions</vt:lpstr>
      <vt:lpstr>Parameters</vt:lpstr>
      <vt:lpstr>FABN_Liabilities</vt:lpstr>
      <vt:lpstr>Bond_Cashflows</vt:lpstr>
      <vt:lpstr>Optimizer</vt:lpstr>
      <vt:lpstr>Alpha</vt:lpstr>
      <vt:lpstr>BC_HDR</vt:lpstr>
      <vt:lpstr>Beta</vt:lpstr>
      <vt:lpstr>C_curr</vt:lpstr>
      <vt:lpstr>C_min</vt:lpstr>
      <vt:lpstr>CF_Gap_Total</vt:lpstr>
      <vt:lpstr>CF_Surplus</vt:lpstr>
      <vt:lpstr>Con_Budget</vt:lpstr>
      <vt:lpstr>Con_Convex</vt:lpstr>
      <vt:lpstr>Con_DurHi</vt:lpstr>
      <vt:lpstr>Con_DurLo</vt:lpstr>
      <vt:lpstr>Con_HY</vt:lpstr>
      <vt:lpstr>Con_Issuer</vt:lpstr>
      <vt:lpstr>Con_Liquid</vt:lpstr>
      <vt:lpstr>Con_LongOnly</vt:lpstr>
      <vt:lpstr>Con_Solvency</vt:lpstr>
      <vt:lpstr>Conv_FABN</vt:lpstr>
      <vt:lpstr>D_FABN</vt:lpstr>
      <vt:lpstr>Delta</vt:lpstr>
      <vt:lpstr>Eps_D</vt:lpstr>
      <vt:lpstr>Eta</vt:lpstr>
      <vt:lpstr>FABN_Rate</vt:lpstr>
      <vt:lpstr>Gamma</vt:lpstr>
      <vt:lpstr>Kappa</vt:lpstr>
      <vt:lpstr>Lambda</vt:lpstr>
      <vt:lpstr>NEV_Objective</vt:lpstr>
      <vt:lpstr>NOTIONAL_NR</vt:lpstr>
      <vt:lpstr>Omega</vt:lpstr>
      <vt:lpstr>RBC_bar</vt:lpstr>
      <vt:lpstr>w_CS</vt:lpstr>
      <vt:lpstr>w_MOM</vt:lpstr>
      <vt:lpstr>w_MR</vt:lpstr>
      <vt:lpstr>w_YC</vt:lpstr>
      <vt:lpstr>Weights_h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Eduardo Tovilla Rivera</cp:lastModifiedBy>
  <dcterms:created xsi:type="dcterms:W3CDTF">2026-04-27T18:37:57Z</dcterms:created>
  <dcterms:modified xsi:type="dcterms:W3CDTF">2026-04-27T22:31:14Z</dcterms:modified>
</cp:coreProperties>
</file>