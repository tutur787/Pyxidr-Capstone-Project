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d9cc36b2e7032bd/Desktop/MSADS/Courses/3. Spring 2026/Capstone I/Project/Optimization/"/>
    </mc:Choice>
  </mc:AlternateContent>
  <xr:revisionPtr revIDLastSave="2714" documentId="8_{FF0C1221-45A4-49B5-B2AA-B82CEB1ECB02}" xr6:coauthVersionLast="47" xr6:coauthVersionMax="47" xr10:uidLastSave="{D9529351-2F0B-444B-9B02-81F31243FBAC}"/>
  <bookViews>
    <workbookView xWindow="-110" yWindow="-110" windowWidth="25820" windowHeight="15500" activeTab="4" xr2:uid="{F3A9B9F7-4A1B-4493-94D7-90080C2EFAFB}"/>
  </bookViews>
  <sheets>
    <sheet name="Instructions" sheetId="2" r:id="rId1"/>
    <sheet name="Parameters" sheetId="3" r:id="rId2"/>
    <sheet name="FABN_Liabilities" sheetId="4" r:id="rId3"/>
    <sheet name="Bond_Cashflows" sheetId="5" r:id="rId4"/>
    <sheet name="Optimizer" sheetId="6" r:id="rId5"/>
  </sheets>
  <definedNames>
    <definedName name="_xleta.IF" hidden="1" xlm="1">#NAME?</definedName>
    <definedName name="B_RBC">Parameters!$B$15</definedName>
    <definedName name="Beta">Parameters!$B$13</definedName>
    <definedName name="CF_Surplus">Optimizer!$K$16:$K$35</definedName>
    <definedName name="Con_BBB">Optimizer!$C$47</definedName>
    <definedName name="Con_Budget">Optimizer!$C$43</definedName>
    <definedName name="Con_C1">Optimizer!$C$44</definedName>
    <definedName name="Con_CF_Tot">Optimizer!$C$48</definedName>
    <definedName name="Con_DurHi">Optimizer!$C$45</definedName>
    <definedName name="Con_DurLo">Optimizer!$C$46</definedName>
    <definedName name="D_L">Parameters!$B$16</definedName>
    <definedName name="Epsilon">Parameters!$B$17</definedName>
    <definedName name="Gamma">Parameters!$B$14</definedName>
    <definedName name="NOTIONAL_NR">Parameters!$B$5</definedName>
    <definedName name="Objective">Optimizer!$J$39</definedName>
    <definedName name="q_BBB">Parameters!$B$18</definedName>
    <definedName name="solver_adj" localSheetId="4" hidden="1">Optimizer!$I$6:$I$11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Optimizer!$C$49</definedName>
    <definedName name="solver_lhs2" localSheetId="4" hidden="1">Optimizer!$C$47</definedName>
    <definedName name="solver_lhs3" localSheetId="4" hidden="1">Optimizer!$C$43</definedName>
    <definedName name="solver_lhs4" localSheetId="4" hidden="1">Optimizer!$C$44</definedName>
    <definedName name="solver_lhs5" localSheetId="4" hidden="1">Optimizer!$C$48</definedName>
    <definedName name="solver_lhs6" localSheetId="4" hidden="1">Optimizer!$C$45</definedName>
    <definedName name="solver_lhs7" localSheetId="4" hidden="1">Optimizer!$C$46</definedName>
    <definedName name="solver_lhs8" localSheetId="4" hidden="1">Optimizer!$I$6:$I$11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8</definedName>
    <definedName name="solver_nwt" localSheetId="4" hidden="1">1</definedName>
    <definedName name="solver_opt" localSheetId="4" hidden="1">Optimizer!$J$39</definedName>
    <definedName name="solver_pre" localSheetId="4" hidden="1">0.000001</definedName>
    <definedName name="solver_rbv" localSheetId="4" hidden="1">1</definedName>
    <definedName name="solver_rel1" localSheetId="4" hidden="1">3</definedName>
    <definedName name="solver_rel2" localSheetId="4" hidden="1">1</definedName>
    <definedName name="solver_rel3" localSheetId="4" hidden="1">2</definedName>
    <definedName name="solver_rel4" localSheetId="4" hidden="1">1</definedName>
    <definedName name="solver_rel5" localSheetId="4" hidden="1">3</definedName>
    <definedName name="solver_rel6" localSheetId="4" hidden="1">1</definedName>
    <definedName name="solver_rel7" localSheetId="4" hidden="1">3</definedName>
    <definedName name="solver_rel8" localSheetId="4" hidden="1">3</definedName>
    <definedName name="solver_rhs1" localSheetId="4" hidden="1">Optimizer!$E$49</definedName>
    <definedName name="solver_rhs2" localSheetId="4" hidden="1">Optimizer!$E$47</definedName>
    <definedName name="solver_rhs3" localSheetId="4" hidden="1">Optimizer!$E$43</definedName>
    <definedName name="solver_rhs4" localSheetId="4" hidden="1">Optimizer!$E$44</definedName>
    <definedName name="solver_rhs5" localSheetId="4" hidden="1">Optimizer!$E$48</definedName>
    <definedName name="solver_rhs6" localSheetId="4" hidden="1">Optimizer!$E$45</definedName>
    <definedName name="solver_rhs7" localSheetId="4" hidden="1">Optimizer!$E$46</definedName>
    <definedName name="solver_rhs8" localSheetId="4" hidden="1">0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1</definedName>
    <definedName name="solver_val" localSheetId="4" hidden="1">0</definedName>
    <definedName name="solver_ver" localSheetId="4" hidden="1">3</definedName>
    <definedName name="Weights">Optimizer!$I$6:$I$11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" i="6" l="1"/>
  <c r="D17" i="6"/>
  <c r="G19" i="6"/>
  <c r="F35" i="6"/>
  <c r="E32" i="6"/>
  <c r="C64" i="4"/>
  <c r="E16" i="6"/>
  <c r="G35" i="6"/>
  <c r="E20" i="6"/>
  <c r="E63" i="4"/>
  <c r="E62" i="4"/>
  <c r="E61" i="4"/>
  <c r="E60" i="4"/>
  <c r="C34" i="6" s="1"/>
  <c r="E59" i="4"/>
  <c r="E58" i="4"/>
  <c r="E57" i="4"/>
  <c r="C33" i="6" s="1"/>
  <c r="E56" i="4"/>
  <c r="E55" i="4"/>
  <c r="E54" i="4"/>
  <c r="C32" i="6" s="1"/>
  <c r="E53" i="4"/>
  <c r="E52" i="4"/>
  <c r="E51" i="4"/>
  <c r="C31" i="6" s="1"/>
  <c r="E50" i="4"/>
  <c r="E49" i="4"/>
  <c r="E48" i="4"/>
  <c r="C30" i="6" s="1"/>
  <c r="E47" i="4"/>
  <c r="E46" i="4"/>
  <c r="E45" i="4"/>
  <c r="C29" i="6" s="1"/>
  <c r="E44" i="4"/>
  <c r="E43" i="4"/>
  <c r="E42" i="4"/>
  <c r="C28" i="6" s="1"/>
  <c r="E41" i="4"/>
  <c r="E40" i="4"/>
  <c r="E39" i="4"/>
  <c r="C27" i="6" s="1"/>
  <c r="E38" i="4"/>
  <c r="E37" i="4"/>
  <c r="E36" i="4"/>
  <c r="C26" i="6" s="1"/>
  <c r="E35" i="4"/>
  <c r="E34" i="4"/>
  <c r="E33" i="4"/>
  <c r="C25" i="6" s="1"/>
  <c r="E32" i="4"/>
  <c r="E31" i="4"/>
  <c r="E30" i="4"/>
  <c r="C24" i="6" s="1"/>
  <c r="E29" i="4"/>
  <c r="E28" i="4"/>
  <c r="E27" i="4"/>
  <c r="C23" i="6" s="1"/>
  <c r="E26" i="4"/>
  <c r="E25" i="4"/>
  <c r="E24" i="4"/>
  <c r="C22" i="6" s="1"/>
  <c r="E23" i="4"/>
  <c r="E22" i="4"/>
  <c r="E21" i="4"/>
  <c r="C21" i="6" s="1"/>
  <c r="E20" i="4"/>
  <c r="E19" i="4"/>
  <c r="E18" i="4"/>
  <c r="C20" i="6" s="1"/>
  <c r="E17" i="4"/>
  <c r="E16" i="4"/>
  <c r="E15" i="4"/>
  <c r="C19" i="6" s="1"/>
  <c r="E14" i="4"/>
  <c r="E13" i="4"/>
  <c r="E12" i="4"/>
  <c r="C18" i="6" s="1"/>
  <c r="E11" i="4"/>
  <c r="E10" i="4"/>
  <c r="E9" i="4"/>
  <c r="C17" i="6" s="1"/>
  <c r="E8" i="4"/>
  <c r="E7" i="4"/>
  <c r="E6" i="4"/>
  <c r="C16" i="6" s="1"/>
  <c r="E5" i="4"/>
  <c r="E4" i="4"/>
  <c r="H33" i="6"/>
  <c r="F31" i="6"/>
  <c r="E22" i="6"/>
  <c r="C49" i="6"/>
  <c r="E47" i="6"/>
  <c r="C47" i="6"/>
  <c r="B56" i="6" s="1"/>
  <c r="E46" i="6"/>
  <c r="E45" i="6"/>
  <c r="E44" i="6"/>
  <c r="C43" i="6"/>
  <c r="I35" i="6"/>
  <c r="H35" i="6"/>
  <c r="D35" i="6"/>
  <c r="I34" i="6"/>
  <c r="H34" i="6"/>
  <c r="G34" i="6"/>
  <c r="F34" i="6"/>
  <c r="E34" i="6"/>
  <c r="D34" i="6"/>
  <c r="I33" i="6"/>
  <c r="D33" i="6"/>
  <c r="I32" i="6"/>
  <c r="H32" i="6"/>
  <c r="G32" i="6"/>
  <c r="F32" i="6"/>
  <c r="D32" i="6"/>
  <c r="I31" i="6"/>
  <c r="H31" i="6"/>
  <c r="D31" i="6"/>
  <c r="I30" i="6"/>
  <c r="H30" i="6"/>
  <c r="G30" i="6"/>
  <c r="F30" i="6"/>
  <c r="E30" i="6"/>
  <c r="D30" i="6"/>
  <c r="I29" i="6"/>
  <c r="H29" i="6"/>
  <c r="G29" i="6"/>
  <c r="F29" i="6"/>
  <c r="E29" i="6"/>
  <c r="D29" i="6"/>
  <c r="I28" i="6"/>
  <c r="H28" i="6"/>
  <c r="F28" i="6"/>
  <c r="D28" i="6"/>
  <c r="I27" i="6"/>
  <c r="H27" i="6"/>
  <c r="G27" i="6"/>
  <c r="F27" i="6"/>
  <c r="E27" i="6"/>
  <c r="D27" i="6"/>
  <c r="I26" i="6"/>
  <c r="H26" i="6"/>
  <c r="G26" i="6"/>
  <c r="F26" i="6"/>
  <c r="D26" i="6"/>
  <c r="I25" i="6"/>
  <c r="H25" i="6"/>
  <c r="G25" i="6"/>
  <c r="F25" i="6"/>
  <c r="E25" i="6"/>
  <c r="D25" i="6"/>
  <c r="I24" i="6"/>
  <c r="H24" i="6"/>
  <c r="D24" i="6"/>
  <c r="I23" i="6"/>
  <c r="H23" i="6"/>
  <c r="G23" i="6"/>
  <c r="F23" i="6"/>
  <c r="E23" i="6"/>
  <c r="D23" i="6"/>
  <c r="I22" i="6"/>
  <c r="H22" i="6"/>
  <c r="D22" i="6"/>
  <c r="I21" i="6"/>
  <c r="H21" i="6"/>
  <c r="G21" i="6"/>
  <c r="F21" i="6"/>
  <c r="E21" i="6"/>
  <c r="D21" i="6"/>
  <c r="I20" i="6"/>
  <c r="H20" i="6"/>
  <c r="G20" i="6"/>
  <c r="F20" i="6"/>
  <c r="D20" i="6"/>
  <c r="I19" i="6"/>
  <c r="H19" i="6"/>
  <c r="D19" i="6"/>
  <c r="I18" i="6"/>
  <c r="H18" i="6"/>
  <c r="G18" i="6"/>
  <c r="F18" i="6"/>
  <c r="E18" i="6"/>
  <c r="D18" i="6"/>
  <c r="I17" i="6"/>
  <c r="I16" i="6"/>
  <c r="H16" i="6"/>
  <c r="G16" i="6"/>
  <c r="F16" i="6"/>
  <c r="D16" i="6"/>
  <c r="M11" i="6"/>
  <c r="L11" i="6"/>
  <c r="J11" i="6"/>
  <c r="K11" i="6" s="1"/>
  <c r="M10" i="6"/>
  <c r="L10" i="6"/>
  <c r="J10" i="6"/>
  <c r="K10" i="6" s="1"/>
  <c r="M9" i="6"/>
  <c r="L9" i="6"/>
  <c r="J9" i="6"/>
  <c r="M8" i="6"/>
  <c r="L8" i="6"/>
  <c r="J8" i="6"/>
  <c r="K8" i="6" s="1"/>
  <c r="J7" i="6"/>
  <c r="M6" i="6"/>
  <c r="L6" i="6"/>
  <c r="J6" i="6"/>
  <c r="K6" i="6" s="1"/>
  <c r="E64" i="4"/>
  <c r="F19" i="6" l="1"/>
  <c r="F22" i="6"/>
  <c r="B53" i="6"/>
  <c r="K7" i="6"/>
  <c r="E28" i="6"/>
  <c r="E19" i="6"/>
  <c r="M7" i="6"/>
  <c r="C45" i="6" s="1"/>
  <c r="L7" i="6"/>
  <c r="C44" i="6" s="1"/>
  <c r="G22" i="6"/>
  <c r="G28" i="6"/>
  <c r="G31" i="6"/>
  <c r="G24" i="6"/>
  <c r="K9" i="6"/>
  <c r="B58" i="6"/>
  <c r="C36" i="6"/>
  <c r="E48" i="6"/>
  <c r="J27" i="6"/>
  <c r="K27" i="6" s="1"/>
  <c r="J18" i="6"/>
  <c r="K18" i="6" s="1"/>
  <c r="E35" i="6"/>
  <c r="J35" i="6" s="1"/>
  <c r="E26" i="6"/>
  <c r="J26" i="6" s="1"/>
  <c r="K26" i="6" s="1"/>
  <c r="E17" i="6"/>
  <c r="E33" i="6"/>
  <c r="F17" i="6"/>
  <c r="E24" i="6"/>
  <c r="F33" i="6"/>
  <c r="G17" i="6"/>
  <c r="F24" i="6"/>
  <c r="E31" i="6"/>
  <c r="G33" i="6"/>
  <c r="H17" i="6"/>
  <c r="J29" i="6"/>
  <c r="K29" i="6" s="1"/>
  <c r="J16" i="6"/>
  <c r="J32" i="6"/>
  <c r="K32" i="6" s="1"/>
  <c r="J34" i="6"/>
  <c r="K34" i="6" s="1"/>
  <c r="J25" i="6"/>
  <c r="K25" i="6" s="1"/>
  <c r="J20" i="6"/>
  <c r="K20" i="6" s="1"/>
  <c r="J23" i="6"/>
  <c r="K23" i="6" s="1"/>
  <c r="J21" i="6"/>
  <c r="K21" i="6" s="1"/>
  <c r="J30" i="6"/>
  <c r="K30" i="6" s="1"/>
  <c r="J39" i="6" l="1"/>
  <c r="K35" i="6"/>
  <c r="K16" i="6"/>
  <c r="J22" i="6"/>
  <c r="K22" i="6" s="1"/>
  <c r="J19" i="6"/>
  <c r="K19" i="6" s="1"/>
  <c r="J31" i="6"/>
  <c r="K31" i="6" s="1"/>
  <c r="J28" i="6"/>
  <c r="K28" i="6" s="1"/>
  <c r="B52" i="6"/>
  <c r="B55" i="6"/>
  <c r="C46" i="6"/>
  <c r="B54" i="6"/>
  <c r="J33" i="6"/>
  <c r="K33" i="6" s="1"/>
  <c r="J24" i="6"/>
  <c r="K24" i="6" s="1"/>
  <c r="J17" i="6"/>
  <c r="K17" i="6" s="1"/>
  <c r="K36" i="6" l="1"/>
  <c r="J36" i="6"/>
  <c r="B59" i="6"/>
  <c r="B57" i="6"/>
  <c r="C48" i="6"/>
</calcChain>
</file>

<file path=xl/sharedStrings.xml><?xml version="1.0" encoding="utf-8"?>
<sst xmlns="http://schemas.openxmlformats.org/spreadsheetml/2006/main" count="181" uniqueCount="148">
  <si>
    <t>FABN + Bond Portfolio Optimizer  –  Parameters</t>
  </si>
  <si>
    <t>Parameter</t>
  </si>
  <si>
    <t>Value</t>
  </si>
  <si>
    <t>Description</t>
  </si>
  <si>
    <t>FABN Notional ($)</t>
  </si>
  <si>
    <t>Total face value issued</t>
  </si>
  <si>
    <t>FABN Annual Coupon Rate</t>
  </si>
  <si>
    <t>Annual rate; paid quarterly</t>
  </si>
  <si>
    <t>FABN Payment Frequency</t>
  </si>
  <si>
    <t>Quarterly (every 3 months)</t>
  </si>
  <si>
    <t>FABN Maturity (months)</t>
  </si>
  <si>
    <t>60 months = 5 years</t>
  </si>
  <si>
    <t>Simulation Horizon (mo)</t>
  </si>
  <si>
    <t>Start Date</t>
  </si>
  <si>
    <t>Penalizes bond return volatility</t>
  </si>
  <si>
    <t>Penalizes bid-ask spread (liquidity cost)</t>
  </si>
  <si>
    <t>B – RBC C1 capital budget</t>
  </si>
  <si>
    <t>Max allowed weighted-avg C1 factor</t>
  </si>
  <si>
    <t>D_L – Liability duration (yrs)</t>
  </si>
  <si>
    <t>Estimated FABN modified duration</t>
  </si>
  <si>
    <t>Max allowed asset-liability duration gap</t>
  </si>
  <si>
    <t>q – Max BBB weight</t>
  </si>
  <si>
    <t>Cap on total BBB allocation</t>
  </si>
  <si>
    <t>FABN Liabilities  –  Monthly Cash Flow Schedule</t>
  </si>
  <si>
    <t>Month</t>
  </si>
  <si>
    <t>Date</t>
  </si>
  <si>
    <t>Quarterly Coupon ($)</t>
  </si>
  <si>
    <t>Principal ($)</t>
  </si>
  <si>
    <t>Total CF ($)</t>
  </si>
  <si>
    <t>Cumulative CF ($)</t>
  </si>
  <si>
    <t>TOTAL</t>
  </si>
  <si>
    <t>Bond + FABN Cash Flow Matrix  –  Per $1 Invested / Per $1 Notional</t>
  </si>
  <si>
    <t>Annual Rate</t>
  </si>
  <si>
    <t>Freq (mo)</t>
  </si>
  <si>
    <t>1st Pmt Mo</t>
  </si>
  <si>
    <t>Maturity Mo</t>
  </si>
  <si>
    <t>Rating</t>
  </si>
  <si>
    <t>B01 AA-Fin 4.5%</t>
  </si>
  <si>
    <t>AA</t>
  </si>
  <si>
    <t>B02 A-Ind 5.2%</t>
  </si>
  <si>
    <t>A</t>
  </si>
  <si>
    <t>B03 BBB-Util 6.0%</t>
  </si>
  <si>
    <t>BBB</t>
  </si>
  <si>
    <t>B04 AA-Govt 4.0%</t>
  </si>
  <si>
    <t>B05 A-Engy 5.5%</t>
  </si>
  <si>
    <t>B06 BBB-HC 6.5%</t>
  </si>
  <si>
    <t>FABN (Liability) per $1</t>
  </si>
  <si>
    <t>N/A</t>
  </si>
  <si>
    <t>FABN + Bond Portfolio Optimizer  –  RBC ALM Framework</t>
  </si>
  <si>
    <t>A.  Bond Allocation  (yellow cells = Solver decision variables)</t>
  </si>
  <si>
    <t>Bond</t>
  </si>
  <si>
    <t>G-Spread</t>
  </si>
  <si>
    <t>Volatility</t>
  </si>
  <si>
    <t>Bid-Ask</t>
  </si>
  <si>
    <t>C1 Factor</t>
  </si>
  <si>
    <t>Duration</t>
  </si>
  <si>
    <t>Weight (wi)</t>
  </si>
  <si>
    <t>Adj Return</t>
  </si>
  <si>
    <t>Return Contrib</t>
  </si>
  <si>
    <t>C1 Contrib</t>
  </si>
  <si>
    <t>Dur Contrib</t>
  </si>
  <si>
    <t>(bps)</t>
  </si>
  <si>
    <t>wi·AdjRet</t>
  </si>
  <si>
    <t>wi·C1</t>
  </si>
  <si>
    <t>wi·Dur</t>
  </si>
  <si>
    <t>B.  Cash Flow Simulation  –  FABN Liability vs. Weighted Bond Portfolio (in $)</t>
  </si>
  <si>
    <t>(Updates live as weights change)</t>
  </si>
  <si>
    <t>FABN CF $ [Liability]</t>
  </si>
  <si>
    <t>Total Asset CF $</t>
  </si>
  <si>
    <t>Surplus / (Deficit) $</t>
  </si>
  <si>
    <t>C.  Objective Function</t>
  </si>
  <si>
    <t>Maximize:</t>
  </si>
  <si>
    <t>OBJECTIVE =</t>
  </si>
  <si>
    <t>D.  Constraints  (Solver reads these cells)</t>
  </si>
  <si>
    <t>Constraint</t>
  </si>
  <si>
    <t>Current Value</t>
  </si>
  <si>
    <t>Sense</t>
  </si>
  <si>
    <t>Limit</t>
  </si>
  <si>
    <t>C1 – Budget</t>
  </si>
  <si>
    <t>=</t>
  </si>
  <si>
    <t>C2 – RBC C1 Capital</t>
  </si>
  <si>
    <t>&lt;=</t>
  </si>
  <si>
    <t>C3a – Duration (upper)</t>
  </si>
  <si>
    <t>C3b – Duration (lower)</t>
  </si>
  <si>
    <t>&gt;=</t>
  </si>
  <si>
    <t>C4 – BBB Cap</t>
  </si>
  <si>
    <t>C5 – CF Matching (total)</t>
  </si>
  <si>
    <t>C6 – Long-Only</t>
  </si>
  <si>
    <t>E.  Quick Dashboard</t>
  </si>
  <si>
    <t>Objective Value (bps)</t>
  </si>
  <si>
    <t>Higher is better</t>
  </si>
  <si>
    <t>Sum of Weights</t>
  </si>
  <si>
    <t>Must equal 1.0</t>
  </si>
  <si>
    <t>Portfolio Duration (yrs)</t>
  </si>
  <si>
    <t>Target: D_L ± ? (see Parameters)</t>
  </si>
  <si>
    <t>RBC C1 Usage</t>
  </si>
  <si>
    <t>Must be ? B_RBC</t>
  </si>
  <si>
    <t>BBB Allocation</t>
  </si>
  <si>
    <t>Must be ? q_BBB</t>
  </si>
  <si>
    <t>Total Asset CF ($)</t>
  </si>
  <si>
    <t>Total cash received from bonds</t>
  </si>
  <si>
    <t>Total FABN CF ($)</t>
  </si>
  <si>
    <t>Total cash owed to FABN investors</t>
  </si>
  <si>
    <t>Net Surplus/(Deficit) ($)</t>
  </si>
  <si>
    <t>Positive = assets cover liabilities</t>
  </si>
  <si>
    <t>FABN + Bond Portfolio Optimizer  –  Setup &amp; Instructions</t>
  </si>
  <si>
    <t>OVERVIEW</t>
  </si>
  <si>
    <t xml:space="preserve">  This workbook simulates an insurance company holding a FABN (liability) funded</t>
  </si>
  <si>
    <t xml:space="preserve">  by a bond portfolio (assets). The optimizer finds the best bond weights to:</t>
  </si>
  <si>
    <t xml:space="preserve">    • Match the FABN liability duration (ALM / C3 constraint)</t>
  </si>
  <si>
    <t xml:space="preserve">    • Stay within the RBC C1 capital budget</t>
  </si>
  <si>
    <t xml:space="preserve">    • Ensure asset cash flows cover FABN payments over the 5-year horizon</t>
  </si>
  <si>
    <t>SHEETS</t>
  </si>
  <si>
    <t xml:space="preserve">  Parameters      – Edit FABN terms and optimization parameters here</t>
  </si>
  <si>
    <t xml:space="preserve">  FABN_Liabilities – Monthly cash flow schedule for the FABN obligation ($)</t>
  </si>
  <si>
    <t xml:space="preserve">  Bond_Cashflows   – Per-$1-invested CF matrix: rows=months, cols=bonds+FABN</t>
  </si>
  <si>
    <t xml:space="preserve">  Optimizer        – Main sheet: weights, CF comparison, objective, constraints</t>
  </si>
  <si>
    <t>STEP 1  –  Enable Solver (one-time)</t>
  </si>
  <si>
    <t xml:space="preserve">  File &gt; Options &gt; Add-ins &gt; Manage: Excel Add-ins &gt; Go &gt; check Solver Add-in</t>
  </si>
  <si>
    <t>STEP 2  –  Open Solver</t>
  </si>
  <si>
    <t xml:space="preserve">  Go to the Optimizer sheet, then Data tab &gt; Solver</t>
  </si>
  <si>
    <t>STEP 3  –  Configure Solver</t>
  </si>
  <si>
    <t xml:space="preserve">  Set Objective:   Optimizer!$J$39   (green OBJECTIVE cell)   ? Max</t>
  </si>
  <si>
    <t xml:space="preserve">  By Changing:     Optimizer!$I$6:$I$11   (yellow Weight cells)</t>
  </si>
  <si>
    <t xml:space="preserve">  Solving Method:  GRG Nonlinear</t>
  </si>
  <si>
    <t>STEP 4  –  Add Constraints (click Add for each)</t>
  </si>
  <si>
    <t xml:space="preserve">  $C$43  =  1                    (budget: weights sum to 1)</t>
  </si>
  <si>
    <t xml:space="preserve">  $I$6:$I$11  &gt;=  0              (long-only: no short positions)</t>
  </si>
  <si>
    <t xml:space="preserve">  $C$44  &lt;=  Parameters!$B$15    (RBC C1 capital ? B)</t>
  </si>
  <si>
    <t xml:space="preserve">  $C$45  &lt;=  Parameters!$B$16+Parameters!$B$17  (duration upper bound)</t>
  </si>
  <si>
    <t xml:space="preserve">  $C$46  &gt;=  Parameters!$B$16-Parameters!$B$17  (duration lower bound)</t>
  </si>
  <si>
    <t xml:space="preserve">  $C$47  &lt;=  Parameters!$B$18                   (BBB cap)</t>
  </si>
  <si>
    <t xml:space="preserve">  $C$48  &gt;=  $E$48                              (total CF matching)</t>
  </si>
  <si>
    <t xml:space="preserve">  --- Optional: per-quarter CF constraints (add each row 16-35 in col K &gt;= 0)</t>
  </si>
  <si>
    <t>STEP 5  –  Click Solve, then Accept Solution</t>
  </si>
  <si>
    <t xml:space="preserve">  The yellow weight cells update. Check the green Dashboard (rows 52-59)</t>
  </si>
  <si>
    <t xml:space="preserve">  and the CF Comparison table (rows 16-35) for surplus/(deficit) per quarter.</t>
  </si>
  <si>
    <t>TIP: Run the macro  RunOptimizer()  to configure and run Solver automatically.</t>
  </si>
  <si>
    <t>TIP: Edit bond data directly in the Bond_Cashflows and Optimizer sheets.</t>
  </si>
  <si>
    <t xml:space="preserve">    • Maximize risk-adjusted spread income (G-Spread)</t>
  </si>
  <si>
    <t>TIP: Modify Parameters sheet and re-run for scenario analysis.</t>
  </si>
  <si>
    <t>FABN (Liability)</t>
  </si>
  <si>
    <t>Optimization Parameters</t>
  </si>
  <si>
    <t>Beta – Risk penalty</t>
  </si>
  <si>
    <t>Gamma – Liquidity penalty</t>
  </si>
  <si>
    <t>Epsilon – Duration tolerance</t>
  </si>
  <si>
    <t>SOLVER</t>
  </si>
  <si>
    <t>GSpd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</si>
</sst>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"/>
    <numFmt numFmtId="165" formatCode="mmm\-yyyy"/>
    <numFmt numFmtId="166" formatCode="0.000"/>
    <numFmt numFmtId="167" formatCode="0.00000"/>
    <numFmt numFmtId="168" formatCode="0.0"/>
    <numFmt numFmtId="169" formatCode="0.0000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1F497D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sz val="11"/>
      <color rgb="FF595959"/>
      <name val="Aptos Narrow"/>
      <family val="2"/>
      <scheme val="minor"/>
    </font>
    <font>
      <b/>
      <sz val="11"/>
      <color rgb="FF595959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8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i/>
      <sz val="11"/>
      <color rgb="FFFFFFFF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EBF1F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6C8"/>
        <bgColor indexed="64"/>
      </patternFill>
    </fill>
    <fill>
      <patternFill patternType="solid">
        <fgColor rgb="FFFFB464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EBD2"/>
        <bgColor indexed="64"/>
      </patternFill>
    </fill>
    <fill>
      <patternFill patternType="solid">
        <fgColor rgb="FFE1F2E1"/>
        <bgColor indexed="64"/>
      </patternFill>
    </fill>
    <fill>
      <patternFill patternType="solid">
        <fgColor rgb="FFFFC89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DC8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4" fillId="0" borderId="0" xfId="0" applyFont="1"/>
    <xf numFmtId="164" fontId="0" fillId="0" borderId="0" xfId="0" applyNumberFormat="1"/>
    <xf numFmtId="10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5" fillId="0" borderId="0" xfId="0" applyFont="1"/>
    <xf numFmtId="0" fontId="6" fillId="0" borderId="0" xfId="0" applyFont="1"/>
    <xf numFmtId="0" fontId="0" fillId="3" borderId="0" xfId="0" applyFill="1"/>
    <xf numFmtId="166" fontId="0" fillId="3" borderId="0" xfId="0" applyNumberFormat="1" applyFill="1"/>
    <xf numFmtId="0" fontId="6" fillId="3" borderId="0" xfId="0" applyFont="1" applyFill="1"/>
    <xf numFmtId="0" fontId="3" fillId="4" borderId="0" xfId="0" applyFont="1" applyFill="1" applyAlignment="1">
      <alignment horizontal="center" wrapText="1"/>
    </xf>
    <xf numFmtId="0" fontId="0" fillId="5" borderId="0" xfId="0" applyFill="1"/>
    <xf numFmtId="165" fontId="0" fillId="5" borderId="0" xfId="0" applyNumberFormat="1" applyFill="1"/>
    <xf numFmtId="164" fontId="0" fillId="5" borderId="0" xfId="0" applyNumberFormat="1" applyFill="1"/>
    <xf numFmtId="0" fontId="0" fillId="6" borderId="0" xfId="0" applyFill="1"/>
    <xf numFmtId="165" fontId="0" fillId="6" borderId="0" xfId="0" applyNumberFormat="1" applyFill="1"/>
    <xf numFmtId="164" fontId="0" fillId="6" borderId="0" xfId="0" applyNumberFormat="1" applyFill="1"/>
    <xf numFmtId="0" fontId="0" fillId="7" borderId="0" xfId="0" applyFill="1"/>
    <xf numFmtId="165" fontId="0" fillId="7" borderId="0" xfId="0" applyNumberFormat="1" applyFill="1"/>
    <xf numFmtId="164" fontId="0" fillId="7" borderId="0" xfId="0" applyNumberFormat="1" applyFill="1"/>
    <xf numFmtId="164" fontId="1" fillId="0" borderId="0" xfId="0" applyNumberFormat="1" applyFont="1"/>
    <xf numFmtId="0" fontId="3" fillId="4" borderId="0" xfId="0" applyFont="1" applyFill="1"/>
    <xf numFmtId="164" fontId="3" fillId="4" borderId="0" xfId="0" applyNumberFormat="1" applyFont="1" applyFill="1"/>
    <xf numFmtId="0" fontId="7" fillId="0" borderId="0" xfId="0" applyFont="1"/>
    <xf numFmtId="0" fontId="3" fillId="8" borderId="0" xfId="0" applyFont="1" applyFill="1"/>
    <xf numFmtId="0" fontId="3" fillId="8" borderId="0" xfId="0" applyFont="1" applyFill="1" applyAlignment="1">
      <alignment horizontal="center"/>
    </xf>
    <xf numFmtId="0" fontId="3" fillId="2" borderId="0" xfId="0" applyFont="1" applyFill="1" applyAlignment="1">
      <alignment horizontal="center" wrapText="1"/>
    </xf>
    <xf numFmtId="0" fontId="0" fillId="9" borderId="0" xfId="0" applyFill="1"/>
    <xf numFmtId="165" fontId="0" fillId="9" borderId="0" xfId="0" applyNumberFormat="1" applyFill="1"/>
    <xf numFmtId="167" fontId="0" fillId="9" borderId="0" xfId="0" applyNumberFormat="1" applyFill="1"/>
    <xf numFmtId="0" fontId="0" fillId="10" borderId="0" xfId="0" applyFill="1"/>
    <xf numFmtId="165" fontId="0" fillId="10" borderId="0" xfId="0" applyNumberFormat="1" applyFill="1"/>
    <xf numFmtId="167" fontId="0" fillId="10" borderId="0" xfId="0" applyNumberFormat="1" applyFill="1"/>
    <xf numFmtId="0" fontId="0" fillId="11" borderId="0" xfId="0" applyFill="1"/>
    <xf numFmtId="165" fontId="0" fillId="11" borderId="0" xfId="0" applyNumberFormat="1" applyFill="1"/>
    <xf numFmtId="167" fontId="0" fillId="11" borderId="0" xfId="0" applyNumberFormat="1" applyFill="1"/>
    <xf numFmtId="0" fontId="8" fillId="0" borderId="0" xfId="0" applyFont="1"/>
    <xf numFmtId="0" fontId="9" fillId="0" borderId="0" xfId="0" applyFont="1"/>
    <xf numFmtId="0" fontId="10" fillId="12" borderId="0" xfId="0" applyFont="1" applyFill="1" applyAlignment="1">
      <alignment horizontal="center" wrapText="1"/>
    </xf>
    <xf numFmtId="1" fontId="0" fillId="0" borderId="0" xfId="0" applyNumberFormat="1"/>
    <xf numFmtId="2" fontId="0" fillId="0" borderId="0" xfId="0" applyNumberFormat="1"/>
    <xf numFmtId="168" fontId="0" fillId="0" borderId="0" xfId="0" applyNumberFormat="1"/>
    <xf numFmtId="169" fontId="0" fillId="0" borderId="0" xfId="0" applyNumberFormat="1"/>
    <xf numFmtId="169" fontId="1" fillId="13" borderId="0" xfId="0" applyNumberFormat="1" applyFont="1" applyFill="1"/>
    <xf numFmtId="1" fontId="0" fillId="3" borderId="0" xfId="0" applyNumberFormat="1" applyFill="1"/>
    <xf numFmtId="2" fontId="0" fillId="3" borderId="0" xfId="0" applyNumberFormat="1" applyFill="1"/>
    <xf numFmtId="168" fontId="0" fillId="3" borderId="0" xfId="0" applyNumberFormat="1" applyFill="1"/>
    <xf numFmtId="169" fontId="0" fillId="3" borderId="0" xfId="0" applyNumberFormat="1" applyFill="1"/>
    <xf numFmtId="0" fontId="3" fillId="8" borderId="0" xfId="0" applyFont="1" applyFill="1" applyAlignment="1">
      <alignment horizontal="center" wrapText="1"/>
    </xf>
    <xf numFmtId="0" fontId="3" fillId="14" borderId="0" xfId="0" applyFont="1" applyFill="1" applyAlignment="1">
      <alignment horizontal="center" wrapText="1"/>
    </xf>
    <xf numFmtId="165" fontId="0" fillId="3" borderId="0" xfId="0" applyNumberFormat="1" applyFill="1"/>
    <xf numFmtId="164" fontId="0" fillId="3" borderId="0" xfId="0" applyNumberFormat="1" applyFill="1"/>
    <xf numFmtId="164" fontId="1" fillId="3" borderId="0" xfId="0" applyNumberFormat="1" applyFont="1" applyFill="1"/>
    <xf numFmtId="164" fontId="1" fillId="15" borderId="0" xfId="0" applyNumberFormat="1" applyFont="1" applyFill="1"/>
    <xf numFmtId="0" fontId="1" fillId="15" borderId="0" xfId="0" applyFont="1" applyFill="1"/>
    <xf numFmtId="165" fontId="1" fillId="15" borderId="0" xfId="0" applyNumberFormat="1" applyFont="1" applyFill="1"/>
    <xf numFmtId="164" fontId="3" fillId="2" borderId="0" xfId="0" applyNumberFormat="1" applyFont="1" applyFill="1"/>
    <xf numFmtId="0" fontId="1" fillId="0" borderId="0" xfId="0" applyFont="1" applyAlignment="1">
      <alignment horizontal="right"/>
    </xf>
    <xf numFmtId="169" fontId="3" fillId="14" borderId="0" xfId="0" applyNumberFormat="1" applyFont="1" applyFill="1"/>
    <xf numFmtId="0" fontId="1" fillId="3" borderId="0" xfId="0" applyFont="1" applyFill="1"/>
    <xf numFmtId="0" fontId="3" fillId="14" borderId="0" xfId="0" applyFont="1" applyFill="1"/>
    <xf numFmtId="164" fontId="3" fillId="14" borderId="0" xfId="0" applyNumberFormat="1" applyFont="1" applyFill="1"/>
    <xf numFmtId="0" fontId="11" fillId="14" borderId="0" xfId="0" applyFont="1" applyFill="1"/>
    <xf numFmtId="0" fontId="12" fillId="0" borderId="0" xfId="0" applyFont="1"/>
    <xf numFmtId="0" fontId="2" fillId="0" borderId="0" xfId="0" applyFont="1"/>
    <xf numFmtId="0" fontId="0" fillId="0" borderId="0" xfId="0" applyFill="1"/>
    <xf numFmtId="0" fontId="3" fillId="0" borderId="0" xfId="0" applyFont="1" applyFill="1"/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8DED5-2DB3-42A8-8EB5-2EB6C1E055B2}">
  <sheetPr codeName="Sheet2"/>
  <dimension ref="A1:A44"/>
  <sheetViews>
    <sheetView workbookViewId="0">
      <selection activeCell="A44" sqref="A44"/>
    </sheetView>
  </sheetViews>
  <sheetFormatPr defaultRowHeight="14.5" x14ac:dyDescent="0.35"/>
  <cols>
    <col min="1" max="1" width="100.6328125" customWidth="1"/>
  </cols>
  <sheetData>
    <row r="1" spans="1:1" ht="21" x14ac:dyDescent="0.5">
      <c r="A1" s="67" t="s">
        <v>105</v>
      </c>
    </row>
    <row r="3" spans="1:1" x14ac:dyDescent="0.35">
      <c r="A3" s="4" t="s">
        <v>106</v>
      </c>
    </row>
    <row r="4" spans="1:1" x14ac:dyDescent="0.35">
      <c r="A4" t="s">
        <v>107</v>
      </c>
    </row>
    <row r="5" spans="1:1" x14ac:dyDescent="0.35">
      <c r="A5" t="s">
        <v>108</v>
      </c>
    </row>
    <row r="6" spans="1:1" x14ac:dyDescent="0.35">
      <c r="A6" t="s">
        <v>139</v>
      </c>
    </row>
    <row r="7" spans="1:1" x14ac:dyDescent="0.35">
      <c r="A7" t="s">
        <v>109</v>
      </c>
    </row>
    <row r="8" spans="1:1" x14ac:dyDescent="0.35">
      <c r="A8" t="s">
        <v>110</v>
      </c>
    </row>
    <row r="9" spans="1:1" x14ac:dyDescent="0.35">
      <c r="A9" t="s">
        <v>111</v>
      </c>
    </row>
    <row r="11" spans="1:1" x14ac:dyDescent="0.35">
      <c r="A11" s="4" t="s">
        <v>112</v>
      </c>
    </row>
    <row r="12" spans="1:1" x14ac:dyDescent="0.35">
      <c r="A12" t="s">
        <v>113</v>
      </c>
    </row>
    <row r="13" spans="1:1" x14ac:dyDescent="0.35">
      <c r="A13" t="s">
        <v>114</v>
      </c>
    </row>
    <row r="14" spans="1:1" x14ac:dyDescent="0.35">
      <c r="A14" t="s">
        <v>115</v>
      </c>
    </row>
    <row r="15" spans="1:1" x14ac:dyDescent="0.35">
      <c r="A15" t="s">
        <v>116</v>
      </c>
    </row>
    <row r="17" spans="1:1" x14ac:dyDescent="0.35">
      <c r="A17" s="4" t="s">
        <v>117</v>
      </c>
    </row>
    <row r="18" spans="1:1" x14ac:dyDescent="0.35">
      <c r="A18" t="s">
        <v>118</v>
      </c>
    </row>
    <row r="20" spans="1:1" x14ac:dyDescent="0.35">
      <c r="A20" s="4" t="s">
        <v>119</v>
      </c>
    </row>
    <row r="21" spans="1:1" x14ac:dyDescent="0.35">
      <c r="A21" t="s">
        <v>120</v>
      </c>
    </row>
    <row r="23" spans="1:1" x14ac:dyDescent="0.35">
      <c r="A23" s="4" t="s">
        <v>121</v>
      </c>
    </row>
    <row r="24" spans="1:1" x14ac:dyDescent="0.35">
      <c r="A24" t="s">
        <v>122</v>
      </c>
    </row>
    <row r="25" spans="1:1" x14ac:dyDescent="0.35">
      <c r="A25" t="s">
        <v>123</v>
      </c>
    </row>
    <row r="26" spans="1:1" x14ac:dyDescent="0.35">
      <c r="A26" t="s">
        <v>124</v>
      </c>
    </row>
    <row r="28" spans="1:1" x14ac:dyDescent="0.35">
      <c r="A28" s="4" t="s">
        <v>125</v>
      </c>
    </row>
    <row r="29" spans="1:1" x14ac:dyDescent="0.35">
      <c r="A29" t="s">
        <v>126</v>
      </c>
    </row>
    <row r="30" spans="1:1" x14ac:dyDescent="0.35">
      <c r="A30" t="s">
        <v>127</v>
      </c>
    </row>
    <row r="31" spans="1:1" x14ac:dyDescent="0.35">
      <c r="A31" t="s">
        <v>128</v>
      </c>
    </row>
    <row r="32" spans="1:1" x14ac:dyDescent="0.35">
      <c r="A32" t="s">
        <v>129</v>
      </c>
    </row>
    <row r="33" spans="1:1" x14ac:dyDescent="0.35">
      <c r="A33" t="s">
        <v>130</v>
      </c>
    </row>
    <row r="34" spans="1:1" x14ac:dyDescent="0.35">
      <c r="A34" t="s">
        <v>131</v>
      </c>
    </row>
    <row r="35" spans="1:1" x14ac:dyDescent="0.35">
      <c r="A35" t="s">
        <v>132</v>
      </c>
    </row>
    <row r="36" spans="1:1" x14ac:dyDescent="0.35">
      <c r="A36" t="s">
        <v>133</v>
      </c>
    </row>
    <row r="38" spans="1:1" x14ac:dyDescent="0.35">
      <c r="A38" s="4" t="s">
        <v>134</v>
      </c>
    </row>
    <row r="39" spans="1:1" x14ac:dyDescent="0.35">
      <c r="A39" t="s">
        <v>135</v>
      </c>
    </row>
    <row r="40" spans="1:1" x14ac:dyDescent="0.35">
      <c r="A40" t="s">
        <v>136</v>
      </c>
    </row>
    <row r="42" spans="1:1" x14ac:dyDescent="0.35">
      <c r="A42" s="4" t="s">
        <v>137</v>
      </c>
    </row>
    <row r="43" spans="1:1" x14ac:dyDescent="0.35">
      <c r="A43" s="4" t="s">
        <v>140</v>
      </c>
    </row>
    <row r="44" spans="1:1" x14ac:dyDescent="0.35">
      <c r="A44" s="4" t="s">
        <v>138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B2D14-6FD3-460A-B26C-735EEA7B6D0D}">
  <sheetPr codeName="Sheet3"/>
  <dimension ref="A1:C18"/>
  <sheetViews>
    <sheetView workbookViewId="0">
      <selection activeCell="B19" sqref="B19"/>
    </sheetView>
  </sheetViews>
  <sheetFormatPr defaultRowHeight="14.5" x14ac:dyDescent="0.35"/>
  <cols>
    <col min="1" max="1" width="50.453125" bestFit="1" customWidth="1"/>
    <col min="2" max="2" width="14.6328125" customWidth="1"/>
    <col min="3" max="3" width="33.54296875" bestFit="1" customWidth="1"/>
    <col min="4" max="16384" width="8.7265625" style="69"/>
  </cols>
  <sheetData>
    <row r="1" spans="1:3" ht="18.5" x14ac:dyDescent="0.45">
      <c r="A1" s="2" t="s">
        <v>0</v>
      </c>
    </row>
    <row r="3" spans="1:3" x14ac:dyDescent="0.35">
      <c r="A3" s="3" t="s">
        <v>1</v>
      </c>
      <c r="B3" s="3" t="s">
        <v>2</v>
      </c>
      <c r="C3" s="3" t="s">
        <v>3</v>
      </c>
    </row>
    <row r="4" spans="1:3" x14ac:dyDescent="0.35">
      <c r="A4" s="4" t="s">
        <v>141</v>
      </c>
    </row>
    <row r="5" spans="1:3" x14ac:dyDescent="0.35">
      <c r="A5" t="s">
        <v>4</v>
      </c>
      <c r="B5" s="5">
        <v>100000</v>
      </c>
      <c r="C5" t="s">
        <v>5</v>
      </c>
    </row>
    <row r="6" spans="1:3" x14ac:dyDescent="0.35">
      <c r="A6" t="s">
        <v>6</v>
      </c>
      <c r="B6" s="6">
        <v>3.9999999999999987E-2</v>
      </c>
      <c r="C6" t="s">
        <v>7</v>
      </c>
    </row>
    <row r="7" spans="1:3" x14ac:dyDescent="0.35">
      <c r="A7" t="s">
        <v>8</v>
      </c>
      <c r="B7" t="s">
        <v>9</v>
      </c>
    </row>
    <row r="8" spans="1:3" x14ac:dyDescent="0.35">
      <c r="A8" t="s">
        <v>10</v>
      </c>
      <c r="B8">
        <v>60</v>
      </c>
      <c r="C8" t="s">
        <v>11</v>
      </c>
    </row>
    <row r="9" spans="1:3" x14ac:dyDescent="0.35">
      <c r="A9" t="s">
        <v>12</v>
      </c>
      <c r="B9">
        <v>60</v>
      </c>
    </row>
    <row r="10" spans="1:3" x14ac:dyDescent="0.35">
      <c r="A10" t="s">
        <v>13</v>
      </c>
      <c r="B10" s="7">
        <v>46023</v>
      </c>
    </row>
    <row r="12" spans="1:3" x14ac:dyDescent="0.35">
      <c r="A12" s="4" t="s">
        <v>142</v>
      </c>
    </row>
    <row r="13" spans="1:3" x14ac:dyDescent="0.35">
      <c r="A13" s="11" t="s">
        <v>143</v>
      </c>
      <c r="B13" s="12">
        <v>0.5</v>
      </c>
      <c r="C13" s="13" t="s">
        <v>14</v>
      </c>
    </row>
    <row r="14" spans="1:3" x14ac:dyDescent="0.35">
      <c r="A14" t="s">
        <v>144</v>
      </c>
      <c r="B14" s="8">
        <v>0.3</v>
      </c>
      <c r="C14" s="10" t="s">
        <v>15</v>
      </c>
    </row>
    <row r="15" spans="1:3" x14ac:dyDescent="0.35">
      <c r="A15" s="11" t="s">
        <v>16</v>
      </c>
      <c r="B15" s="12">
        <v>1.4999999999999999E-2</v>
      </c>
      <c r="C15" s="13" t="s">
        <v>17</v>
      </c>
    </row>
    <row r="16" spans="1:3" x14ac:dyDescent="0.35">
      <c r="A16" t="s">
        <v>18</v>
      </c>
      <c r="B16" s="8">
        <v>4.5</v>
      </c>
      <c r="C16" s="10" t="s">
        <v>19</v>
      </c>
    </row>
    <row r="17" spans="1:3" x14ac:dyDescent="0.35">
      <c r="A17" s="11" t="s">
        <v>145</v>
      </c>
      <c r="B17" s="12">
        <v>0.75</v>
      </c>
      <c r="C17" s="13" t="s">
        <v>20</v>
      </c>
    </row>
    <row r="18" spans="1:3" x14ac:dyDescent="0.35">
      <c r="A18" t="s">
        <v>21</v>
      </c>
      <c r="B18" s="8">
        <v>0.35</v>
      </c>
      <c r="C18" s="10" t="s">
        <v>22</v>
      </c>
    </row>
  </sheetData>
  <dataValidations count="1">
    <dataValidation type="whole" operator="equal" allowBlank="1" showInputMessage="1" showErrorMessage="1" sqref="E5" xr:uid="{078729D2-8149-440A-9EF1-B2CF987FB979}">
      <formula1>1000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1B38B-5270-4102-9D9F-E0C22C0B91AC}">
  <sheetPr codeName="Sheet4"/>
  <dimension ref="A1:F64"/>
  <sheetViews>
    <sheetView topLeftCell="A29" workbookViewId="0"/>
  </sheetViews>
  <sheetFormatPr defaultRowHeight="14.5" x14ac:dyDescent="0.35"/>
  <cols>
    <col min="1" max="1" width="51.453125" bestFit="1" customWidth="1"/>
    <col min="3" max="6" width="20.6328125" customWidth="1"/>
    <col min="7" max="16384" width="8.7265625" style="69"/>
  </cols>
  <sheetData>
    <row r="1" spans="1:6" ht="18.5" x14ac:dyDescent="0.45">
      <c r="A1" s="2" t="s">
        <v>23</v>
      </c>
    </row>
    <row r="3" spans="1:6" ht="35" customHeight="1" x14ac:dyDescent="0.35">
      <c r="A3" s="14" t="s">
        <v>24</v>
      </c>
      <c r="B3" s="14" t="s">
        <v>25</v>
      </c>
      <c r="C3" s="14" t="s">
        <v>26</v>
      </c>
      <c r="D3" s="14" t="s">
        <v>27</v>
      </c>
      <c r="E3" s="14" t="s">
        <v>28</v>
      </c>
      <c r="F3" s="14" t="s">
        <v>29</v>
      </c>
    </row>
    <row r="4" spans="1:6" x14ac:dyDescent="0.35">
      <c r="A4">
        <v>1</v>
      </c>
      <c r="B4" s="7">
        <v>46023</v>
      </c>
      <c r="C4" s="5">
        <v>0</v>
      </c>
      <c r="D4" s="5">
        <v>0</v>
      </c>
      <c r="E4" s="5">
        <f>SUM(C4:D4)</f>
        <v>0</v>
      </c>
      <c r="F4" s="5">
        <v>0</v>
      </c>
    </row>
    <row r="5" spans="1:6" x14ac:dyDescent="0.35">
      <c r="A5" s="15">
        <v>2</v>
      </c>
      <c r="B5" s="16">
        <v>46054</v>
      </c>
      <c r="C5" s="17">
        <v>0</v>
      </c>
      <c r="D5" s="17">
        <v>0</v>
      </c>
      <c r="E5" s="17">
        <f t="shared" ref="E5:E64" si="0">SUM(C5:D5)</f>
        <v>0</v>
      </c>
      <c r="F5" s="17">
        <v>0</v>
      </c>
    </row>
    <row r="6" spans="1:6" x14ac:dyDescent="0.35">
      <c r="A6" s="18">
        <v>3</v>
      </c>
      <c r="B6" s="19">
        <v>46082</v>
      </c>
      <c r="C6" s="20">
        <v>1000</v>
      </c>
      <c r="D6" s="20">
        <v>0</v>
      </c>
      <c r="E6" s="20">
        <f t="shared" si="0"/>
        <v>1000</v>
      </c>
      <c r="F6" s="20">
        <v>1250</v>
      </c>
    </row>
    <row r="7" spans="1:6" x14ac:dyDescent="0.35">
      <c r="A7" s="15">
        <v>4</v>
      </c>
      <c r="B7" s="16">
        <v>46113</v>
      </c>
      <c r="C7" s="17">
        <v>0</v>
      </c>
      <c r="D7" s="17">
        <v>0</v>
      </c>
      <c r="E7" s="17">
        <f t="shared" si="0"/>
        <v>0</v>
      </c>
      <c r="F7" s="17">
        <v>1250</v>
      </c>
    </row>
    <row r="8" spans="1:6" x14ac:dyDescent="0.35">
      <c r="A8">
        <v>5</v>
      </c>
      <c r="B8" s="7">
        <v>46143</v>
      </c>
      <c r="C8" s="5">
        <v>0</v>
      </c>
      <c r="D8" s="5">
        <v>0</v>
      </c>
      <c r="E8" s="5">
        <f t="shared" si="0"/>
        <v>0</v>
      </c>
      <c r="F8" s="5">
        <v>1250</v>
      </c>
    </row>
    <row r="9" spans="1:6" x14ac:dyDescent="0.35">
      <c r="A9" s="18">
        <v>6</v>
      </c>
      <c r="B9" s="19">
        <v>46174</v>
      </c>
      <c r="C9" s="20">
        <v>1000</v>
      </c>
      <c r="D9" s="20">
        <v>0</v>
      </c>
      <c r="E9" s="20">
        <f t="shared" si="0"/>
        <v>1000</v>
      </c>
      <c r="F9" s="20">
        <v>2500</v>
      </c>
    </row>
    <row r="10" spans="1:6" x14ac:dyDescent="0.35">
      <c r="A10">
        <v>7</v>
      </c>
      <c r="B10" s="7">
        <v>46204</v>
      </c>
      <c r="C10" s="5">
        <v>0</v>
      </c>
      <c r="D10" s="5">
        <v>0</v>
      </c>
      <c r="E10" s="5">
        <f t="shared" si="0"/>
        <v>0</v>
      </c>
      <c r="F10" s="5">
        <v>2500</v>
      </c>
    </row>
    <row r="11" spans="1:6" x14ac:dyDescent="0.35">
      <c r="A11" s="15">
        <v>8</v>
      </c>
      <c r="B11" s="16">
        <v>46235</v>
      </c>
      <c r="C11" s="17">
        <v>0</v>
      </c>
      <c r="D11" s="17">
        <v>0</v>
      </c>
      <c r="E11" s="17">
        <f t="shared" si="0"/>
        <v>0</v>
      </c>
      <c r="F11" s="17">
        <v>2500</v>
      </c>
    </row>
    <row r="12" spans="1:6" x14ac:dyDescent="0.35">
      <c r="A12" s="18">
        <v>9</v>
      </c>
      <c r="B12" s="19">
        <v>46266</v>
      </c>
      <c r="C12" s="20">
        <v>1000</v>
      </c>
      <c r="D12" s="20">
        <v>0</v>
      </c>
      <c r="E12" s="20">
        <f t="shared" si="0"/>
        <v>1000</v>
      </c>
      <c r="F12" s="20">
        <v>3750</v>
      </c>
    </row>
    <row r="13" spans="1:6" x14ac:dyDescent="0.35">
      <c r="A13" s="15">
        <v>10</v>
      </c>
      <c r="B13" s="16">
        <v>46296</v>
      </c>
      <c r="C13" s="17">
        <v>0</v>
      </c>
      <c r="D13" s="17">
        <v>0</v>
      </c>
      <c r="E13" s="17">
        <f t="shared" si="0"/>
        <v>0</v>
      </c>
      <c r="F13" s="17">
        <v>3750</v>
      </c>
    </row>
    <row r="14" spans="1:6" x14ac:dyDescent="0.35">
      <c r="A14">
        <v>11</v>
      </c>
      <c r="B14" s="7">
        <v>46327</v>
      </c>
      <c r="C14" s="5">
        <v>0</v>
      </c>
      <c r="D14" s="5">
        <v>0</v>
      </c>
      <c r="E14" s="5">
        <f t="shared" si="0"/>
        <v>0</v>
      </c>
      <c r="F14" s="5">
        <v>3750</v>
      </c>
    </row>
    <row r="15" spans="1:6" x14ac:dyDescent="0.35">
      <c r="A15" s="18">
        <v>12</v>
      </c>
      <c r="B15" s="19">
        <v>46357</v>
      </c>
      <c r="C15" s="20">
        <v>1000</v>
      </c>
      <c r="D15" s="20">
        <v>0</v>
      </c>
      <c r="E15" s="20">
        <f t="shared" si="0"/>
        <v>1000</v>
      </c>
      <c r="F15" s="20">
        <v>5000</v>
      </c>
    </row>
    <row r="16" spans="1:6" x14ac:dyDescent="0.35">
      <c r="A16">
        <v>13</v>
      </c>
      <c r="B16" s="7">
        <v>46388</v>
      </c>
      <c r="C16" s="5">
        <v>0</v>
      </c>
      <c r="D16" s="5">
        <v>0</v>
      </c>
      <c r="E16" s="5">
        <f t="shared" si="0"/>
        <v>0</v>
      </c>
      <c r="F16" s="5">
        <v>5000</v>
      </c>
    </row>
    <row r="17" spans="1:6" x14ac:dyDescent="0.35">
      <c r="A17" s="15">
        <v>14</v>
      </c>
      <c r="B17" s="16">
        <v>46419</v>
      </c>
      <c r="C17" s="17">
        <v>0</v>
      </c>
      <c r="D17" s="17">
        <v>0</v>
      </c>
      <c r="E17" s="17">
        <f t="shared" si="0"/>
        <v>0</v>
      </c>
      <c r="F17" s="17">
        <v>5000</v>
      </c>
    </row>
    <row r="18" spans="1:6" x14ac:dyDescent="0.35">
      <c r="A18" s="18">
        <v>15</v>
      </c>
      <c r="B18" s="19">
        <v>46447</v>
      </c>
      <c r="C18" s="20">
        <v>1000</v>
      </c>
      <c r="D18" s="20">
        <v>0</v>
      </c>
      <c r="E18" s="20">
        <f t="shared" si="0"/>
        <v>1000</v>
      </c>
      <c r="F18" s="20">
        <v>6250</v>
      </c>
    </row>
    <row r="19" spans="1:6" x14ac:dyDescent="0.35">
      <c r="A19" s="15">
        <v>16</v>
      </c>
      <c r="B19" s="16">
        <v>46478</v>
      </c>
      <c r="C19" s="17">
        <v>0</v>
      </c>
      <c r="D19" s="17">
        <v>0</v>
      </c>
      <c r="E19" s="17">
        <f t="shared" si="0"/>
        <v>0</v>
      </c>
      <c r="F19" s="17">
        <v>6250</v>
      </c>
    </row>
    <row r="20" spans="1:6" x14ac:dyDescent="0.35">
      <c r="A20">
        <v>17</v>
      </c>
      <c r="B20" s="7">
        <v>46508</v>
      </c>
      <c r="C20" s="5">
        <v>0</v>
      </c>
      <c r="D20" s="5">
        <v>0</v>
      </c>
      <c r="E20" s="5">
        <f t="shared" si="0"/>
        <v>0</v>
      </c>
      <c r="F20" s="5">
        <v>6250</v>
      </c>
    </row>
    <row r="21" spans="1:6" x14ac:dyDescent="0.35">
      <c r="A21" s="18">
        <v>18</v>
      </c>
      <c r="B21" s="19">
        <v>46539</v>
      </c>
      <c r="C21" s="20">
        <v>1000</v>
      </c>
      <c r="D21" s="20">
        <v>0</v>
      </c>
      <c r="E21" s="20">
        <f t="shared" si="0"/>
        <v>1000</v>
      </c>
      <c r="F21" s="20">
        <v>7500</v>
      </c>
    </row>
    <row r="22" spans="1:6" x14ac:dyDescent="0.35">
      <c r="A22">
        <v>19</v>
      </c>
      <c r="B22" s="7">
        <v>46569</v>
      </c>
      <c r="C22" s="5">
        <v>0</v>
      </c>
      <c r="D22" s="5">
        <v>0</v>
      </c>
      <c r="E22" s="5">
        <f t="shared" si="0"/>
        <v>0</v>
      </c>
      <c r="F22" s="5">
        <v>7500</v>
      </c>
    </row>
    <row r="23" spans="1:6" x14ac:dyDescent="0.35">
      <c r="A23" s="15">
        <v>20</v>
      </c>
      <c r="B23" s="16">
        <v>46600</v>
      </c>
      <c r="C23" s="17">
        <v>0</v>
      </c>
      <c r="D23" s="17">
        <v>0</v>
      </c>
      <c r="E23" s="17">
        <f t="shared" si="0"/>
        <v>0</v>
      </c>
      <c r="F23" s="17">
        <v>7500</v>
      </c>
    </row>
    <row r="24" spans="1:6" x14ac:dyDescent="0.35">
      <c r="A24" s="18">
        <v>21</v>
      </c>
      <c r="B24" s="19">
        <v>46631</v>
      </c>
      <c r="C24" s="20">
        <v>1000</v>
      </c>
      <c r="D24" s="20">
        <v>0</v>
      </c>
      <c r="E24" s="20">
        <f t="shared" si="0"/>
        <v>1000</v>
      </c>
      <c r="F24" s="20">
        <v>8750</v>
      </c>
    </row>
    <row r="25" spans="1:6" x14ac:dyDescent="0.35">
      <c r="A25" s="15">
        <v>22</v>
      </c>
      <c r="B25" s="16">
        <v>46661</v>
      </c>
      <c r="C25" s="17">
        <v>0</v>
      </c>
      <c r="D25" s="17">
        <v>0</v>
      </c>
      <c r="E25" s="17">
        <f t="shared" si="0"/>
        <v>0</v>
      </c>
      <c r="F25" s="17">
        <v>8750</v>
      </c>
    </row>
    <row r="26" spans="1:6" x14ac:dyDescent="0.35">
      <c r="A26">
        <v>23</v>
      </c>
      <c r="B26" s="7">
        <v>46692</v>
      </c>
      <c r="C26" s="5">
        <v>0</v>
      </c>
      <c r="D26" s="5">
        <v>0</v>
      </c>
      <c r="E26" s="5">
        <f t="shared" si="0"/>
        <v>0</v>
      </c>
      <c r="F26" s="5">
        <v>8750</v>
      </c>
    </row>
    <row r="27" spans="1:6" x14ac:dyDescent="0.35">
      <c r="A27" s="18">
        <v>24</v>
      </c>
      <c r="B27" s="19">
        <v>46722</v>
      </c>
      <c r="C27" s="20">
        <v>1000</v>
      </c>
      <c r="D27" s="20">
        <v>0</v>
      </c>
      <c r="E27" s="20">
        <f t="shared" si="0"/>
        <v>1000</v>
      </c>
      <c r="F27" s="20">
        <v>10000</v>
      </c>
    </row>
    <row r="28" spans="1:6" x14ac:dyDescent="0.35">
      <c r="A28">
        <v>25</v>
      </c>
      <c r="B28" s="7">
        <v>46753</v>
      </c>
      <c r="C28" s="5">
        <v>0</v>
      </c>
      <c r="D28" s="5">
        <v>0</v>
      </c>
      <c r="E28" s="5">
        <f t="shared" si="0"/>
        <v>0</v>
      </c>
      <c r="F28" s="5">
        <v>10000</v>
      </c>
    </row>
    <row r="29" spans="1:6" x14ac:dyDescent="0.35">
      <c r="A29" s="15">
        <v>26</v>
      </c>
      <c r="B29" s="16">
        <v>46784</v>
      </c>
      <c r="C29" s="17">
        <v>0</v>
      </c>
      <c r="D29" s="17">
        <v>0</v>
      </c>
      <c r="E29" s="17">
        <f t="shared" si="0"/>
        <v>0</v>
      </c>
      <c r="F29" s="17">
        <v>10000</v>
      </c>
    </row>
    <row r="30" spans="1:6" x14ac:dyDescent="0.35">
      <c r="A30" s="18">
        <v>27</v>
      </c>
      <c r="B30" s="19">
        <v>46813</v>
      </c>
      <c r="C30" s="20">
        <v>1000</v>
      </c>
      <c r="D30" s="20">
        <v>0</v>
      </c>
      <c r="E30" s="20">
        <f t="shared" si="0"/>
        <v>1000</v>
      </c>
      <c r="F30" s="20">
        <v>11250</v>
      </c>
    </row>
    <row r="31" spans="1:6" x14ac:dyDescent="0.35">
      <c r="A31" s="15">
        <v>28</v>
      </c>
      <c r="B31" s="16">
        <v>46844</v>
      </c>
      <c r="C31" s="17">
        <v>0</v>
      </c>
      <c r="D31" s="17">
        <v>0</v>
      </c>
      <c r="E31" s="17">
        <f t="shared" si="0"/>
        <v>0</v>
      </c>
      <c r="F31" s="17">
        <v>11250</v>
      </c>
    </row>
    <row r="32" spans="1:6" x14ac:dyDescent="0.35">
      <c r="A32">
        <v>29</v>
      </c>
      <c r="B32" s="7">
        <v>46874</v>
      </c>
      <c r="C32" s="5">
        <v>0</v>
      </c>
      <c r="D32" s="5">
        <v>0</v>
      </c>
      <c r="E32" s="5">
        <f t="shared" si="0"/>
        <v>0</v>
      </c>
      <c r="F32" s="5">
        <v>11250</v>
      </c>
    </row>
    <row r="33" spans="1:6" x14ac:dyDescent="0.35">
      <c r="A33" s="18">
        <v>30</v>
      </c>
      <c r="B33" s="19">
        <v>46905</v>
      </c>
      <c r="C33" s="20">
        <v>1000</v>
      </c>
      <c r="D33" s="20">
        <v>0</v>
      </c>
      <c r="E33" s="20">
        <f t="shared" si="0"/>
        <v>1000</v>
      </c>
      <c r="F33" s="20">
        <v>12500</v>
      </c>
    </row>
    <row r="34" spans="1:6" x14ac:dyDescent="0.35">
      <c r="A34">
        <v>31</v>
      </c>
      <c r="B34" s="7">
        <v>46935</v>
      </c>
      <c r="C34" s="5">
        <v>0</v>
      </c>
      <c r="D34" s="5">
        <v>0</v>
      </c>
      <c r="E34" s="5">
        <f t="shared" si="0"/>
        <v>0</v>
      </c>
      <c r="F34" s="5">
        <v>12500</v>
      </c>
    </row>
    <row r="35" spans="1:6" x14ac:dyDescent="0.35">
      <c r="A35" s="15">
        <v>32</v>
      </c>
      <c r="B35" s="16">
        <v>46966</v>
      </c>
      <c r="C35" s="17">
        <v>0</v>
      </c>
      <c r="D35" s="17">
        <v>0</v>
      </c>
      <c r="E35" s="17">
        <f t="shared" si="0"/>
        <v>0</v>
      </c>
      <c r="F35" s="17">
        <v>12500</v>
      </c>
    </row>
    <row r="36" spans="1:6" x14ac:dyDescent="0.35">
      <c r="A36" s="18">
        <v>33</v>
      </c>
      <c r="B36" s="19">
        <v>46997</v>
      </c>
      <c r="C36" s="20">
        <v>1000</v>
      </c>
      <c r="D36" s="20">
        <v>0</v>
      </c>
      <c r="E36" s="20">
        <f t="shared" si="0"/>
        <v>1000</v>
      </c>
      <c r="F36" s="20">
        <v>13750</v>
      </c>
    </row>
    <row r="37" spans="1:6" x14ac:dyDescent="0.35">
      <c r="A37" s="15">
        <v>34</v>
      </c>
      <c r="B37" s="16">
        <v>47027</v>
      </c>
      <c r="C37" s="17">
        <v>0</v>
      </c>
      <c r="D37" s="17">
        <v>0</v>
      </c>
      <c r="E37" s="17">
        <f t="shared" si="0"/>
        <v>0</v>
      </c>
      <c r="F37" s="17">
        <v>13750</v>
      </c>
    </row>
    <row r="38" spans="1:6" x14ac:dyDescent="0.35">
      <c r="A38">
        <v>35</v>
      </c>
      <c r="B38" s="7">
        <v>47058</v>
      </c>
      <c r="C38" s="5">
        <v>0</v>
      </c>
      <c r="D38" s="5">
        <v>0</v>
      </c>
      <c r="E38" s="5">
        <f t="shared" si="0"/>
        <v>0</v>
      </c>
      <c r="F38" s="5">
        <v>13750</v>
      </c>
    </row>
    <row r="39" spans="1:6" x14ac:dyDescent="0.35">
      <c r="A39" s="18">
        <v>36</v>
      </c>
      <c r="B39" s="19">
        <v>47088</v>
      </c>
      <c r="C39" s="20">
        <v>1000</v>
      </c>
      <c r="D39" s="20">
        <v>0</v>
      </c>
      <c r="E39" s="20">
        <f t="shared" si="0"/>
        <v>1000</v>
      </c>
      <c r="F39" s="20">
        <v>15000</v>
      </c>
    </row>
    <row r="40" spans="1:6" x14ac:dyDescent="0.35">
      <c r="A40">
        <v>37</v>
      </c>
      <c r="B40" s="7">
        <v>47119</v>
      </c>
      <c r="C40" s="5">
        <v>0</v>
      </c>
      <c r="D40" s="5">
        <v>0</v>
      </c>
      <c r="E40" s="5">
        <f t="shared" si="0"/>
        <v>0</v>
      </c>
      <c r="F40" s="5">
        <v>15000</v>
      </c>
    </row>
    <row r="41" spans="1:6" x14ac:dyDescent="0.35">
      <c r="A41" s="15">
        <v>38</v>
      </c>
      <c r="B41" s="16">
        <v>47150</v>
      </c>
      <c r="C41" s="17">
        <v>0</v>
      </c>
      <c r="D41" s="17">
        <v>0</v>
      </c>
      <c r="E41" s="17">
        <f t="shared" si="0"/>
        <v>0</v>
      </c>
      <c r="F41" s="17">
        <v>15000</v>
      </c>
    </row>
    <row r="42" spans="1:6" x14ac:dyDescent="0.35">
      <c r="A42" s="18">
        <v>39</v>
      </c>
      <c r="B42" s="19">
        <v>47178</v>
      </c>
      <c r="C42" s="20">
        <v>1000</v>
      </c>
      <c r="D42" s="20">
        <v>0</v>
      </c>
      <c r="E42" s="20">
        <f t="shared" si="0"/>
        <v>1000</v>
      </c>
      <c r="F42" s="20">
        <v>16250</v>
      </c>
    </row>
    <row r="43" spans="1:6" x14ac:dyDescent="0.35">
      <c r="A43" s="15">
        <v>40</v>
      </c>
      <c r="B43" s="16">
        <v>47209</v>
      </c>
      <c r="C43" s="17">
        <v>0</v>
      </c>
      <c r="D43" s="17">
        <v>0</v>
      </c>
      <c r="E43" s="17">
        <f t="shared" si="0"/>
        <v>0</v>
      </c>
      <c r="F43" s="17">
        <v>16250</v>
      </c>
    </row>
    <row r="44" spans="1:6" x14ac:dyDescent="0.35">
      <c r="A44">
        <v>41</v>
      </c>
      <c r="B44" s="7">
        <v>47239</v>
      </c>
      <c r="C44" s="5">
        <v>0</v>
      </c>
      <c r="D44" s="5">
        <v>0</v>
      </c>
      <c r="E44" s="5">
        <f t="shared" si="0"/>
        <v>0</v>
      </c>
      <c r="F44" s="5">
        <v>16250</v>
      </c>
    </row>
    <row r="45" spans="1:6" x14ac:dyDescent="0.35">
      <c r="A45" s="18">
        <v>42</v>
      </c>
      <c r="B45" s="19">
        <v>47270</v>
      </c>
      <c r="C45" s="20">
        <v>1000</v>
      </c>
      <c r="D45" s="20">
        <v>0</v>
      </c>
      <c r="E45" s="20">
        <f t="shared" si="0"/>
        <v>1000</v>
      </c>
      <c r="F45" s="20">
        <v>17500</v>
      </c>
    </row>
    <row r="46" spans="1:6" x14ac:dyDescent="0.35">
      <c r="A46">
        <v>43</v>
      </c>
      <c r="B46" s="7">
        <v>47300</v>
      </c>
      <c r="C46" s="5">
        <v>0</v>
      </c>
      <c r="D46" s="5">
        <v>0</v>
      </c>
      <c r="E46" s="5">
        <f t="shared" si="0"/>
        <v>0</v>
      </c>
      <c r="F46" s="5">
        <v>17500</v>
      </c>
    </row>
    <row r="47" spans="1:6" x14ac:dyDescent="0.35">
      <c r="A47" s="15">
        <v>44</v>
      </c>
      <c r="B47" s="16">
        <v>47331</v>
      </c>
      <c r="C47" s="17">
        <v>0</v>
      </c>
      <c r="D47" s="17">
        <v>0</v>
      </c>
      <c r="E47" s="17">
        <f t="shared" si="0"/>
        <v>0</v>
      </c>
      <c r="F47" s="17">
        <v>17500</v>
      </c>
    </row>
    <row r="48" spans="1:6" x14ac:dyDescent="0.35">
      <c r="A48" s="18">
        <v>45</v>
      </c>
      <c r="B48" s="19">
        <v>47362</v>
      </c>
      <c r="C48" s="20">
        <v>1000</v>
      </c>
      <c r="D48" s="20">
        <v>0</v>
      </c>
      <c r="E48" s="20">
        <f t="shared" si="0"/>
        <v>1000</v>
      </c>
      <c r="F48" s="20">
        <v>18750</v>
      </c>
    </row>
    <row r="49" spans="1:6" x14ac:dyDescent="0.35">
      <c r="A49" s="15">
        <v>46</v>
      </c>
      <c r="B49" s="16">
        <v>47392</v>
      </c>
      <c r="C49" s="17">
        <v>0</v>
      </c>
      <c r="D49" s="17">
        <v>0</v>
      </c>
      <c r="E49" s="17">
        <f t="shared" si="0"/>
        <v>0</v>
      </c>
      <c r="F49" s="17">
        <v>18750</v>
      </c>
    </row>
    <row r="50" spans="1:6" x14ac:dyDescent="0.35">
      <c r="A50">
        <v>47</v>
      </c>
      <c r="B50" s="7">
        <v>47423</v>
      </c>
      <c r="C50" s="5">
        <v>0</v>
      </c>
      <c r="D50" s="5">
        <v>0</v>
      </c>
      <c r="E50" s="5">
        <f t="shared" si="0"/>
        <v>0</v>
      </c>
      <c r="F50" s="5">
        <v>18750</v>
      </c>
    </row>
    <row r="51" spans="1:6" x14ac:dyDescent="0.35">
      <c r="A51" s="18">
        <v>48</v>
      </c>
      <c r="B51" s="19">
        <v>47453</v>
      </c>
      <c r="C51" s="20">
        <v>1000</v>
      </c>
      <c r="D51" s="20">
        <v>0</v>
      </c>
      <c r="E51" s="20">
        <f t="shared" si="0"/>
        <v>1000</v>
      </c>
      <c r="F51" s="20">
        <v>20000</v>
      </c>
    </row>
    <row r="52" spans="1:6" x14ac:dyDescent="0.35">
      <c r="A52">
        <v>49</v>
      </c>
      <c r="B52" s="7">
        <v>47484</v>
      </c>
      <c r="C52" s="5">
        <v>0</v>
      </c>
      <c r="D52" s="5">
        <v>0</v>
      </c>
      <c r="E52" s="5">
        <f t="shared" si="0"/>
        <v>0</v>
      </c>
      <c r="F52" s="5">
        <v>20000</v>
      </c>
    </row>
    <row r="53" spans="1:6" x14ac:dyDescent="0.35">
      <c r="A53" s="15">
        <v>50</v>
      </c>
      <c r="B53" s="16">
        <v>47515</v>
      </c>
      <c r="C53" s="17">
        <v>0</v>
      </c>
      <c r="D53" s="17">
        <v>0</v>
      </c>
      <c r="E53" s="17">
        <f t="shared" si="0"/>
        <v>0</v>
      </c>
      <c r="F53" s="17">
        <v>20000</v>
      </c>
    </row>
    <row r="54" spans="1:6" x14ac:dyDescent="0.35">
      <c r="A54" s="18">
        <v>51</v>
      </c>
      <c r="B54" s="19">
        <v>47543</v>
      </c>
      <c r="C54" s="20">
        <v>1000</v>
      </c>
      <c r="D54" s="20">
        <v>0</v>
      </c>
      <c r="E54" s="20">
        <f t="shared" si="0"/>
        <v>1000</v>
      </c>
      <c r="F54" s="20">
        <v>21250</v>
      </c>
    </row>
    <row r="55" spans="1:6" x14ac:dyDescent="0.35">
      <c r="A55" s="15">
        <v>52</v>
      </c>
      <c r="B55" s="16">
        <v>47574</v>
      </c>
      <c r="C55" s="17">
        <v>0</v>
      </c>
      <c r="D55" s="17">
        <v>0</v>
      </c>
      <c r="E55" s="17">
        <f t="shared" si="0"/>
        <v>0</v>
      </c>
      <c r="F55" s="17">
        <v>21250</v>
      </c>
    </row>
    <row r="56" spans="1:6" x14ac:dyDescent="0.35">
      <c r="A56">
        <v>53</v>
      </c>
      <c r="B56" s="7">
        <v>47604</v>
      </c>
      <c r="C56" s="5">
        <v>0</v>
      </c>
      <c r="D56" s="5">
        <v>0</v>
      </c>
      <c r="E56" s="5">
        <f t="shared" si="0"/>
        <v>0</v>
      </c>
      <c r="F56" s="5">
        <v>21250</v>
      </c>
    </row>
    <row r="57" spans="1:6" x14ac:dyDescent="0.35">
      <c r="A57" s="18">
        <v>54</v>
      </c>
      <c r="B57" s="19">
        <v>47635</v>
      </c>
      <c r="C57" s="20">
        <v>1000</v>
      </c>
      <c r="D57" s="20">
        <v>0</v>
      </c>
      <c r="E57" s="20">
        <f t="shared" si="0"/>
        <v>1000</v>
      </c>
      <c r="F57" s="20">
        <v>22500</v>
      </c>
    </row>
    <row r="58" spans="1:6" x14ac:dyDescent="0.35">
      <c r="A58">
        <v>55</v>
      </c>
      <c r="B58" s="7">
        <v>47665</v>
      </c>
      <c r="C58" s="5">
        <v>0</v>
      </c>
      <c r="D58" s="5">
        <v>0</v>
      </c>
      <c r="E58" s="5">
        <f t="shared" si="0"/>
        <v>0</v>
      </c>
      <c r="F58" s="5">
        <v>22500</v>
      </c>
    </row>
    <row r="59" spans="1:6" x14ac:dyDescent="0.35">
      <c r="A59" s="15">
        <v>56</v>
      </c>
      <c r="B59" s="16">
        <v>47696</v>
      </c>
      <c r="C59" s="17">
        <v>0</v>
      </c>
      <c r="D59" s="17">
        <v>0</v>
      </c>
      <c r="E59" s="17">
        <f t="shared" si="0"/>
        <v>0</v>
      </c>
      <c r="F59" s="17">
        <v>22500</v>
      </c>
    </row>
    <row r="60" spans="1:6" x14ac:dyDescent="0.35">
      <c r="A60" s="18">
        <v>57</v>
      </c>
      <c r="B60" s="19">
        <v>47727</v>
      </c>
      <c r="C60" s="20">
        <v>1000</v>
      </c>
      <c r="D60" s="20">
        <v>0</v>
      </c>
      <c r="E60" s="20">
        <f t="shared" si="0"/>
        <v>1000</v>
      </c>
      <c r="F60" s="20">
        <v>23750</v>
      </c>
    </row>
    <row r="61" spans="1:6" x14ac:dyDescent="0.35">
      <c r="A61" s="15">
        <v>58</v>
      </c>
      <c r="B61" s="16">
        <v>47757</v>
      </c>
      <c r="C61" s="17">
        <v>0</v>
      </c>
      <c r="D61" s="17">
        <v>0</v>
      </c>
      <c r="E61" s="17">
        <f t="shared" si="0"/>
        <v>0</v>
      </c>
      <c r="F61" s="17">
        <v>23750</v>
      </c>
    </row>
    <row r="62" spans="1:6" x14ac:dyDescent="0.35">
      <c r="A62">
        <v>59</v>
      </c>
      <c r="B62" s="7">
        <v>47788</v>
      </c>
      <c r="C62" s="5">
        <v>0</v>
      </c>
      <c r="D62" s="5">
        <v>0</v>
      </c>
      <c r="E62" s="5">
        <f t="shared" si="0"/>
        <v>0</v>
      </c>
      <c r="F62" s="5">
        <v>23750</v>
      </c>
    </row>
    <row r="63" spans="1:6" x14ac:dyDescent="0.35">
      <c r="A63" s="21">
        <v>60</v>
      </c>
      <c r="B63" s="22">
        <v>47818</v>
      </c>
      <c r="C63" s="23">
        <v>1000</v>
      </c>
      <c r="D63" s="23">
        <v>100000</v>
      </c>
      <c r="E63" s="23">
        <f t="shared" si="0"/>
        <v>101000</v>
      </c>
      <c r="F63" s="23">
        <v>125000</v>
      </c>
    </row>
    <row r="64" spans="1:6" s="70" customFormat="1" x14ac:dyDescent="0.35">
      <c r="A64" s="25" t="s">
        <v>30</v>
      </c>
      <c r="B64" s="25"/>
      <c r="C64" s="26">
        <f>SUM(C4:C63)</f>
        <v>20000</v>
      </c>
      <c r="D64" s="26">
        <v>100000</v>
      </c>
      <c r="E64" s="26">
        <f t="shared" si="0"/>
        <v>120000</v>
      </c>
      <c r="F64" s="2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1AFD6-FFCC-4AC9-A6A2-D3FD2BE5EB63}">
  <sheetPr codeName="Sheet5"/>
  <dimension ref="A1:I67"/>
  <sheetViews>
    <sheetView workbookViewId="0">
      <selection activeCell="G28" sqref="G28"/>
    </sheetView>
  </sheetViews>
  <sheetFormatPr defaultRowHeight="14.5" x14ac:dyDescent="0.35"/>
  <cols>
    <col min="1" max="1" width="8.6328125" customWidth="1"/>
    <col min="3" max="9" width="16.6328125" customWidth="1"/>
    <col min="10" max="16384" width="8.7265625" style="69"/>
  </cols>
  <sheetData>
    <row r="1" spans="1:9" ht="18.5" x14ac:dyDescent="0.45">
      <c r="A1" s="2" t="s">
        <v>31</v>
      </c>
    </row>
    <row r="2" spans="1:9" x14ac:dyDescent="0.35">
      <c r="A2" s="27" t="s">
        <v>32</v>
      </c>
      <c r="C2" s="6">
        <v>4.4999999999999998E-2</v>
      </c>
      <c r="D2" s="6">
        <v>5.1999999999999998E-2</v>
      </c>
      <c r="E2" s="6">
        <v>0.06</v>
      </c>
      <c r="F2" s="6">
        <v>0.04</v>
      </c>
      <c r="G2" s="6">
        <v>5.5E-2</v>
      </c>
      <c r="H2" s="6">
        <v>6.5000000000000002E-2</v>
      </c>
      <c r="I2" s="6">
        <v>0.05</v>
      </c>
    </row>
    <row r="3" spans="1:9" x14ac:dyDescent="0.35">
      <c r="A3" s="27" t="s">
        <v>33</v>
      </c>
      <c r="C3">
        <v>6</v>
      </c>
      <c r="D3">
        <v>6</v>
      </c>
      <c r="E3">
        <v>6</v>
      </c>
      <c r="F3">
        <v>3</v>
      </c>
      <c r="G3">
        <v>6</v>
      </c>
      <c r="H3">
        <v>6</v>
      </c>
      <c r="I3">
        <v>3</v>
      </c>
    </row>
    <row r="4" spans="1:9" x14ac:dyDescent="0.35">
      <c r="A4" s="27" t="s">
        <v>34</v>
      </c>
      <c r="C4">
        <v>6</v>
      </c>
      <c r="D4">
        <v>3</v>
      </c>
      <c r="E4">
        <v>4</v>
      </c>
      <c r="F4">
        <v>3</v>
      </c>
      <c r="G4">
        <v>9</v>
      </c>
      <c r="H4">
        <v>5</v>
      </c>
      <c r="I4">
        <v>3</v>
      </c>
    </row>
    <row r="5" spans="1:9" x14ac:dyDescent="0.35">
      <c r="A5" s="27" t="s">
        <v>35</v>
      </c>
      <c r="C5">
        <v>60</v>
      </c>
      <c r="D5">
        <v>48</v>
      </c>
      <c r="E5">
        <v>36</v>
      </c>
      <c r="F5">
        <v>60</v>
      </c>
      <c r="G5">
        <v>54</v>
      </c>
      <c r="H5">
        <v>42</v>
      </c>
      <c r="I5">
        <v>60</v>
      </c>
    </row>
    <row r="6" spans="1:9" x14ac:dyDescent="0.35">
      <c r="A6" s="27" t="s">
        <v>36</v>
      </c>
      <c r="C6" t="s">
        <v>38</v>
      </c>
      <c r="D6" t="s">
        <v>40</v>
      </c>
      <c r="E6" t="s">
        <v>42</v>
      </c>
      <c r="F6" t="s">
        <v>38</v>
      </c>
      <c r="G6" t="s">
        <v>40</v>
      </c>
      <c r="H6" t="s">
        <v>42</v>
      </c>
      <c r="I6" t="s">
        <v>47</v>
      </c>
    </row>
    <row r="7" spans="1:9" ht="40" customHeight="1" x14ac:dyDescent="0.35">
      <c r="A7" s="29" t="s">
        <v>24</v>
      </c>
      <c r="B7" s="29" t="s">
        <v>25</v>
      </c>
      <c r="C7" s="30" t="s">
        <v>37</v>
      </c>
      <c r="D7" s="30" t="s">
        <v>39</v>
      </c>
      <c r="E7" s="30" t="s">
        <v>41</v>
      </c>
      <c r="F7" s="30" t="s">
        <v>43</v>
      </c>
      <c r="G7" s="30" t="s">
        <v>44</v>
      </c>
      <c r="H7" s="30" t="s">
        <v>45</v>
      </c>
      <c r="I7" s="14" t="s">
        <v>46</v>
      </c>
    </row>
    <row r="8" spans="1:9" x14ac:dyDescent="0.35">
      <c r="A8">
        <v>1</v>
      </c>
      <c r="B8" s="7">
        <v>46023</v>
      </c>
    </row>
    <row r="9" spans="1:9" x14ac:dyDescent="0.35">
      <c r="A9" s="15">
        <v>2</v>
      </c>
      <c r="B9" s="16">
        <v>46054</v>
      </c>
      <c r="C9" s="15"/>
      <c r="D9" s="15"/>
      <c r="E9" s="15"/>
      <c r="F9" s="15"/>
      <c r="G9" s="15"/>
      <c r="H9" s="15"/>
      <c r="I9" s="15"/>
    </row>
    <row r="10" spans="1:9" x14ac:dyDescent="0.35">
      <c r="A10" s="31">
        <v>3</v>
      </c>
      <c r="B10" s="32">
        <v>46082</v>
      </c>
      <c r="C10" s="31"/>
      <c r="D10" s="33">
        <v>2.5999999999999999E-2</v>
      </c>
      <c r="E10" s="31"/>
      <c r="F10" s="33">
        <v>0.01</v>
      </c>
      <c r="G10" s="31"/>
      <c r="H10" s="31"/>
      <c r="I10" s="33">
        <v>1.2500000000000001E-2</v>
      </c>
    </row>
    <row r="11" spans="1:9" x14ac:dyDescent="0.35">
      <c r="A11" s="34">
        <v>4</v>
      </c>
      <c r="B11" s="35">
        <v>46113</v>
      </c>
      <c r="C11" s="34"/>
      <c r="D11" s="34"/>
      <c r="E11" s="36">
        <v>0.03</v>
      </c>
      <c r="F11" s="34"/>
      <c r="G11" s="34"/>
      <c r="H11" s="34"/>
      <c r="I11" s="34"/>
    </row>
    <row r="12" spans="1:9" x14ac:dyDescent="0.35">
      <c r="A12" s="34">
        <v>5</v>
      </c>
      <c r="B12" s="35">
        <v>46143</v>
      </c>
      <c r="C12" s="34"/>
      <c r="D12" s="34"/>
      <c r="E12" s="34"/>
      <c r="F12" s="34"/>
      <c r="G12" s="34"/>
      <c r="H12" s="36">
        <v>3.2500000000000001E-2</v>
      </c>
      <c r="I12" s="34"/>
    </row>
    <row r="13" spans="1:9" x14ac:dyDescent="0.35">
      <c r="A13" s="31">
        <v>6</v>
      </c>
      <c r="B13" s="32">
        <v>46174</v>
      </c>
      <c r="C13" s="33">
        <v>2.2499999999999999E-2</v>
      </c>
      <c r="D13" s="31"/>
      <c r="E13" s="31"/>
      <c r="F13" s="33">
        <v>0.01</v>
      </c>
      <c r="G13" s="31"/>
      <c r="H13" s="31"/>
      <c r="I13" s="33">
        <v>1.2500000000000001E-2</v>
      </c>
    </row>
    <row r="14" spans="1:9" x14ac:dyDescent="0.35">
      <c r="A14">
        <v>7</v>
      </c>
      <c r="B14" s="7">
        <v>46204</v>
      </c>
    </row>
    <row r="15" spans="1:9" x14ac:dyDescent="0.35">
      <c r="A15" s="15">
        <v>8</v>
      </c>
      <c r="B15" s="16">
        <v>46235</v>
      </c>
      <c r="C15" s="15"/>
      <c r="D15" s="15"/>
      <c r="E15" s="15"/>
      <c r="F15" s="15"/>
      <c r="G15" s="15"/>
      <c r="H15" s="15"/>
      <c r="I15" s="15"/>
    </row>
    <row r="16" spans="1:9" x14ac:dyDescent="0.35">
      <c r="A16" s="31">
        <v>9</v>
      </c>
      <c r="B16" s="32">
        <v>46266</v>
      </c>
      <c r="C16" s="31"/>
      <c r="D16" s="33">
        <v>2.5999999999999999E-2</v>
      </c>
      <c r="E16" s="31"/>
      <c r="F16" s="33">
        <v>0.01</v>
      </c>
      <c r="G16" s="33">
        <v>2.75E-2</v>
      </c>
      <c r="H16" s="31"/>
      <c r="I16" s="33">
        <v>1.2500000000000001E-2</v>
      </c>
    </row>
    <row r="17" spans="1:9" x14ac:dyDescent="0.35">
      <c r="A17" s="34">
        <v>10</v>
      </c>
      <c r="B17" s="35">
        <v>46296</v>
      </c>
      <c r="C17" s="34"/>
      <c r="D17" s="34"/>
      <c r="E17" s="36">
        <v>0.03</v>
      </c>
      <c r="F17" s="34"/>
      <c r="G17" s="34"/>
      <c r="H17" s="34"/>
      <c r="I17" s="34"/>
    </row>
    <row r="18" spans="1:9" x14ac:dyDescent="0.35">
      <c r="A18" s="34">
        <v>11</v>
      </c>
      <c r="B18" s="35">
        <v>46327</v>
      </c>
      <c r="C18" s="34"/>
      <c r="D18" s="34"/>
      <c r="E18" s="34"/>
      <c r="F18" s="34"/>
      <c r="G18" s="34"/>
      <c r="H18" s="36">
        <v>3.2500000000000001E-2</v>
      </c>
      <c r="I18" s="34"/>
    </row>
    <row r="19" spans="1:9" x14ac:dyDescent="0.35">
      <c r="A19" s="31">
        <v>12</v>
      </c>
      <c r="B19" s="32">
        <v>46357</v>
      </c>
      <c r="C19" s="33">
        <v>2.2499999999999999E-2</v>
      </c>
      <c r="D19" s="31"/>
      <c r="E19" s="31"/>
      <c r="F19" s="33">
        <v>0.01</v>
      </c>
      <c r="G19" s="31"/>
      <c r="H19" s="31"/>
      <c r="I19" s="33">
        <v>1.2500000000000001E-2</v>
      </c>
    </row>
    <row r="20" spans="1:9" x14ac:dyDescent="0.35">
      <c r="A20">
        <v>13</v>
      </c>
      <c r="B20" s="7">
        <v>46388</v>
      </c>
    </row>
    <row r="21" spans="1:9" x14ac:dyDescent="0.35">
      <c r="A21" s="15">
        <v>14</v>
      </c>
      <c r="B21" s="16">
        <v>46419</v>
      </c>
      <c r="C21" s="15"/>
      <c r="D21" s="15"/>
      <c r="E21" s="15"/>
      <c r="F21" s="15"/>
      <c r="G21" s="15"/>
      <c r="H21" s="15"/>
      <c r="I21" s="15"/>
    </row>
    <row r="22" spans="1:9" x14ac:dyDescent="0.35">
      <c r="A22" s="31">
        <v>15</v>
      </c>
      <c r="B22" s="32">
        <v>46447</v>
      </c>
      <c r="C22" s="31"/>
      <c r="D22" s="33">
        <v>2.5999999999999999E-2</v>
      </c>
      <c r="E22" s="31"/>
      <c r="F22" s="33">
        <v>0.01</v>
      </c>
      <c r="G22" s="33">
        <v>2.75E-2</v>
      </c>
      <c r="H22" s="31"/>
      <c r="I22" s="33">
        <v>1.2500000000000001E-2</v>
      </c>
    </row>
    <row r="23" spans="1:9" x14ac:dyDescent="0.35">
      <c r="A23" s="34">
        <v>16</v>
      </c>
      <c r="B23" s="35">
        <v>46478</v>
      </c>
      <c r="C23" s="34"/>
      <c r="D23" s="34"/>
      <c r="E23" s="36">
        <v>0.03</v>
      </c>
      <c r="F23" s="34"/>
      <c r="G23" s="34"/>
      <c r="H23" s="34"/>
      <c r="I23" s="34"/>
    </row>
    <row r="24" spans="1:9" x14ac:dyDescent="0.35">
      <c r="A24" s="34">
        <v>17</v>
      </c>
      <c r="B24" s="35">
        <v>46508</v>
      </c>
      <c r="C24" s="34"/>
      <c r="D24" s="34"/>
      <c r="E24" s="34"/>
      <c r="F24" s="34"/>
      <c r="G24" s="34"/>
      <c r="H24" s="36">
        <v>3.2500000000000001E-2</v>
      </c>
      <c r="I24" s="34"/>
    </row>
    <row r="25" spans="1:9" x14ac:dyDescent="0.35">
      <c r="A25" s="31">
        <v>18</v>
      </c>
      <c r="B25" s="32">
        <v>46539</v>
      </c>
      <c r="C25" s="33">
        <v>2.2499999999999999E-2</v>
      </c>
      <c r="D25" s="31"/>
      <c r="E25" s="31"/>
      <c r="F25" s="33">
        <v>0.01</v>
      </c>
      <c r="G25" s="31"/>
      <c r="H25" s="31"/>
      <c r="I25" s="33">
        <v>1.2500000000000001E-2</v>
      </c>
    </row>
    <row r="26" spans="1:9" x14ac:dyDescent="0.35">
      <c r="A26">
        <v>19</v>
      </c>
      <c r="B26" s="7">
        <v>46569</v>
      </c>
    </row>
    <row r="27" spans="1:9" x14ac:dyDescent="0.35">
      <c r="A27" s="15">
        <v>20</v>
      </c>
      <c r="B27" s="16">
        <v>46600</v>
      </c>
      <c r="C27" s="15"/>
      <c r="D27" s="15"/>
      <c r="E27" s="15"/>
      <c r="F27" s="15"/>
      <c r="G27" s="15"/>
      <c r="H27" s="15"/>
      <c r="I27" s="15"/>
    </row>
    <row r="28" spans="1:9" x14ac:dyDescent="0.35">
      <c r="A28" s="31">
        <v>21</v>
      </c>
      <c r="B28" s="32">
        <v>46631</v>
      </c>
      <c r="C28" s="31"/>
      <c r="D28" s="33">
        <v>2.5999999999999999E-2</v>
      </c>
      <c r="E28" s="31"/>
      <c r="F28" s="33">
        <v>0.01</v>
      </c>
      <c r="G28" s="33">
        <v>2.75E-2</v>
      </c>
      <c r="H28" s="31"/>
      <c r="I28" s="33">
        <v>1.2500000000000001E-2</v>
      </c>
    </row>
    <row r="29" spans="1:9" x14ac:dyDescent="0.35">
      <c r="A29" s="34">
        <v>22</v>
      </c>
      <c r="B29" s="35">
        <v>46661</v>
      </c>
      <c r="C29" s="34"/>
      <c r="D29" s="34"/>
      <c r="E29" s="36">
        <v>0.03</v>
      </c>
      <c r="F29" s="34"/>
      <c r="G29" s="34"/>
      <c r="H29" s="34"/>
      <c r="I29" s="34"/>
    </row>
    <row r="30" spans="1:9" x14ac:dyDescent="0.35">
      <c r="A30" s="34">
        <v>23</v>
      </c>
      <c r="B30" s="35">
        <v>46692</v>
      </c>
      <c r="C30" s="34"/>
      <c r="D30" s="34"/>
      <c r="E30" s="34"/>
      <c r="F30" s="34"/>
      <c r="G30" s="34"/>
      <c r="H30" s="36">
        <v>3.2500000000000001E-2</v>
      </c>
      <c r="I30" s="34"/>
    </row>
    <row r="31" spans="1:9" x14ac:dyDescent="0.35">
      <c r="A31" s="31">
        <v>24</v>
      </c>
      <c r="B31" s="32">
        <v>46722</v>
      </c>
      <c r="C31" s="33">
        <v>2.2499999999999999E-2</v>
      </c>
      <c r="D31" s="31"/>
      <c r="E31" s="31"/>
      <c r="F31" s="33">
        <v>0.01</v>
      </c>
      <c r="G31" s="31"/>
      <c r="H31" s="31"/>
      <c r="I31" s="33">
        <v>1.2500000000000001E-2</v>
      </c>
    </row>
    <row r="32" spans="1:9" x14ac:dyDescent="0.35">
      <c r="A32">
        <v>25</v>
      </c>
      <c r="B32" s="7">
        <v>46753</v>
      </c>
    </row>
    <row r="33" spans="1:9" x14ac:dyDescent="0.35">
      <c r="A33" s="15">
        <v>26</v>
      </c>
      <c r="B33" s="16">
        <v>46784</v>
      </c>
      <c r="C33" s="15"/>
      <c r="D33" s="15"/>
      <c r="E33" s="15"/>
      <c r="F33" s="15"/>
      <c r="G33" s="15"/>
      <c r="H33" s="15"/>
      <c r="I33" s="15"/>
    </row>
    <row r="34" spans="1:9" x14ac:dyDescent="0.35">
      <c r="A34" s="31">
        <v>27</v>
      </c>
      <c r="B34" s="32">
        <v>46813</v>
      </c>
      <c r="C34" s="31"/>
      <c r="D34" s="33">
        <v>2.5999999999999999E-2</v>
      </c>
      <c r="E34" s="31"/>
      <c r="F34" s="33">
        <v>0.01</v>
      </c>
      <c r="G34" s="33">
        <v>2.75E-2</v>
      </c>
      <c r="H34" s="31"/>
      <c r="I34" s="33">
        <v>1.2500000000000001E-2</v>
      </c>
    </row>
    <row r="35" spans="1:9" x14ac:dyDescent="0.35">
      <c r="A35" s="34">
        <v>28</v>
      </c>
      <c r="B35" s="35">
        <v>46844</v>
      </c>
      <c r="C35" s="34"/>
      <c r="D35" s="34"/>
      <c r="E35" s="36">
        <v>0.03</v>
      </c>
      <c r="F35" s="34"/>
      <c r="G35" s="34"/>
      <c r="H35" s="34"/>
      <c r="I35" s="34"/>
    </row>
    <row r="36" spans="1:9" x14ac:dyDescent="0.35">
      <c r="A36" s="34">
        <v>29</v>
      </c>
      <c r="B36" s="35">
        <v>46874</v>
      </c>
      <c r="C36" s="34"/>
      <c r="D36" s="34"/>
      <c r="E36" s="34"/>
      <c r="F36" s="34"/>
      <c r="G36" s="34"/>
      <c r="H36" s="36">
        <v>3.2500000000000001E-2</v>
      </c>
      <c r="I36" s="34"/>
    </row>
    <row r="37" spans="1:9" x14ac:dyDescent="0.35">
      <c r="A37" s="31">
        <v>30</v>
      </c>
      <c r="B37" s="32">
        <v>46905</v>
      </c>
      <c r="C37" s="33">
        <v>2.2499999999999999E-2</v>
      </c>
      <c r="D37" s="31"/>
      <c r="E37" s="31"/>
      <c r="F37" s="33">
        <v>0.01</v>
      </c>
      <c r="G37" s="31"/>
      <c r="H37" s="31"/>
      <c r="I37" s="33">
        <v>1.2500000000000001E-2</v>
      </c>
    </row>
    <row r="38" spans="1:9" x14ac:dyDescent="0.35">
      <c r="A38">
        <v>31</v>
      </c>
      <c r="B38" s="7">
        <v>46935</v>
      </c>
    </row>
    <row r="39" spans="1:9" x14ac:dyDescent="0.35">
      <c r="A39" s="15">
        <v>32</v>
      </c>
      <c r="B39" s="16">
        <v>46966</v>
      </c>
      <c r="C39" s="15"/>
      <c r="D39" s="15"/>
      <c r="E39" s="15"/>
      <c r="F39" s="15"/>
      <c r="G39" s="15"/>
      <c r="H39" s="15"/>
      <c r="I39" s="15"/>
    </row>
    <row r="40" spans="1:9" x14ac:dyDescent="0.35">
      <c r="A40" s="31">
        <v>33</v>
      </c>
      <c r="B40" s="32">
        <v>46997</v>
      </c>
      <c r="C40" s="31"/>
      <c r="D40" s="33">
        <v>2.5999999999999999E-2</v>
      </c>
      <c r="E40" s="31"/>
      <c r="F40" s="33">
        <v>0.01</v>
      </c>
      <c r="G40" s="33">
        <v>2.75E-2</v>
      </c>
      <c r="H40" s="31"/>
      <c r="I40" s="33">
        <v>1.2500000000000001E-2</v>
      </c>
    </row>
    <row r="41" spans="1:9" x14ac:dyDescent="0.35">
      <c r="A41" s="34">
        <v>34</v>
      </c>
      <c r="B41" s="35">
        <v>47027</v>
      </c>
      <c r="C41" s="34"/>
      <c r="D41" s="34"/>
      <c r="E41" s="36">
        <v>0.03</v>
      </c>
      <c r="F41" s="34"/>
      <c r="G41" s="34"/>
      <c r="H41" s="34"/>
      <c r="I41" s="34"/>
    </row>
    <row r="42" spans="1:9" x14ac:dyDescent="0.35">
      <c r="A42" s="34">
        <v>35</v>
      </c>
      <c r="B42" s="35">
        <v>47058</v>
      </c>
      <c r="C42" s="34"/>
      <c r="D42" s="34"/>
      <c r="E42" s="34"/>
      <c r="F42" s="34"/>
      <c r="G42" s="34"/>
      <c r="H42" s="36">
        <v>3.2500000000000001E-2</v>
      </c>
      <c r="I42" s="34"/>
    </row>
    <row r="43" spans="1:9" x14ac:dyDescent="0.35">
      <c r="A43" s="31">
        <v>36</v>
      </c>
      <c r="B43" s="32">
        <v>47088</v>
      </c>
      <c r="C43" s="33">
        <v>2.2499999999999999E-2</v>
      </c>
      <c r="D43" s="31"/>
      <c r="E43" s="33">
        <v>1</v>
      </c>
      <c r="F43" s="33">
        <v>0.01</v>
      </c>
      <c r="G43" s="31"/>
      <c r="H43" s="31"/>
      <c r="I43" s="33">
        <v>1.2500000000000001E-2</v>
      </c>
    </row>
    <row r="44" spans="1:9" x14ac:dyDescent="0.35">
      <c r="A44">
        <v>37</v>
      </c>
      <c r="B44" s="7">
        <v>47119</v>
      </c>
    </row>
    <row r="45" spans="1:9" x14ac:dyDescent="0.35">
      <c r="A45" s="15">
        <v>38</v>
      </c>
      <c r="B45" s="16">
        <v>47150</v>
      </c>
      <c r="C45" s="15"/>
      <c r="D45" s="15"/>
      <c r="E45" s="15"/>
      <c r="F45" s="15"/>
      <c r="G45" s="15"/>
      <c r="H45" s="15"/>
      <c r="I45" s="15"/>
    </row>
    <row r="46" spans="1:9" x14ac:dyDescent="0.35">
      <c r="A46" s="31">
        <v>39</v>
      </c>
      <c r="B46" s="32">
        <v>47178</v>
      </c>
      <c r="C46" s="31"/>
      <c r="D46" s="33">
        <v>2.5999999999999999E-2</v>
      </c>
      <c r="E46" s="31"/>
      <c r="F46" s="33">
        <v>0.01</v>
      </c>
      <c r="G46" s="33">
        <v>2.75E-2</v>
      </c>
      <c r="H46" s="31"/>
      <c r="I46" s="33">
        <v>1.2500000000000001E-2</v>
      </c>
    </row>
    <row r="47" spans="1:9" x14ac:dyDescent="0.35">
      <c r="A47" s="15">
        <v>40</v>
      </c>
      <c r="B47" s="16">
        <v>47209</v>
      </c>
      <c r="C47" s="15"/>
      <c r="D47" s="15"/>
      <c r="E47" s="15"/>
      <c r="F47" s="15"/>
      <c r="G47" s="15"/>
      <c r="H47" s="15"/>
      <c r="I47" s="15"/>
    </row>
    <row r="48" spans="1:9" x14ac:dyDescent="0.35">
      <c r="A48" s="34">
        <v>41</v>
      </c>
      <c r="B48" s="35">
        <v>47239</v>
      </c>
      <c r="C48" s="34"/>
      <c r="D48" s="34"/>
      <c r="E48" s="34"/>
      <c r="F48" s="34"/>
      <c r="G48" s="34"/>
      <c r="H48" s="36">
        <v>3.2500000000000001E-2</v>
      </c>
      <c r="I48" s="34"/>
    </row>
    <row r="49" spans="1:9" x14ac:dyDescent="0.35">
      <c r="A49" s="31">
        <v>42</v>
      </c>
      <c r="B49" s="32">
        <v>47270</v>
      </c>
      <c r="C49" s="33">
        <v>2.2499999999999999E-2</v>
      </c>
      <c r="D49" s="31"/>
      <c r="E49" s="31"/>
      <c r="F49" s="33">
        <v>0.01</v>
      </c>
      <c r="G49" s="31"/>
      <c r="H49" s="33">
        <v>1</v>
      </c>
      <c r="I49" s="33">
        <v>1.2500000000000001E-2</v>
      </c>
    </row>
    <row r="50" spans="1:9" x14ac:dyDescent="0.35">
      <c r="A50">
        <v>43</v>
      </c>
      <c r="B50" s="7">
        <v>47300</v>
      </c>
    </row>
    <row r="51" spans="1:9" x14ac:dyDescent="0.35">
      <c r="A51" s="15">
        <v>44</v>
      </c>
      <c r="B51" s="16">
        <v>47331</v>
      </c>
      <c r="C51" s="15"/>
      <c r="D51" s="15"/>
      <c r="E51" s="15"/>
      <c r="F51" s="15"/>
      <c r="G51" s="15"/>
      <c r="H51" s="15"/>
      <c r="I51" s="15"/>
    </row>
    <row r="52" spans="1:9" x14ac:dyDescent="0.35">
      <c r="A52" s="31">
        <v>45</v>
      </c>
      <c r="B52" s="32">
        <v>47362</v>
      </c>
      <c r="C52" s="31"/>
      <c r="D52" s="33">
        <v>2.5999999999999999E-2</v>
      </c>
      <c r="E52" s="31"/>
      <c r="F52" s="33">
        <v>0.01</v>
      </c>
      <c r="G52" s="33">
        <v>2.75E-2</v>
      </c>
      <c r="H52" s="31"/>
      <c r="I52" s="33">
        <v>1.2500000000000001E-2</v>
      </c>
    </row>
    <row r="53" spans="1:9" x14ac:dyDescent="0.35">
      <c r="A53" s="15">
        <v>46</v>
      </c>
      <c r="B53" s="16">
        <v>47392</v>
      </c>
      <c r="C53" s="15"/>
      <c r="D53" s="15"/>
      <c r="E53" s="15"/>
      <c r="F53" s="15"/>
      <c r="G53" s="15"/>
      <c r="H53" s="15"/>
      <c r="I53" s="15"/>
    </row>
    <row r="54" spans="1:9" x14ac:dyDescent="0.35">
      <c r="A54">
        <v>47</v>
      </c>
      <c r="B54" s="7">
        <v>47423</v>
      </c>
    </row>
    <row r="55" spans="1:9" x14ac:dyDescent="0.35">
      <c r="A55" s="31">
        <v>48</v>
      </c>
      <c r="B55" s="32">
        <v>47453</v>
      </c>
      <c r="C55" s="33">
        <v>2.2499999999999999E-2</v>
      </c>
      <c r="D55" s="33">
        <v>1</v>
      </c>
      <c r="E55" s="31"/>
      <c r="F55" s="33">
        <v>0.01</v>
      </c>
      <c r="G55" s="31"/>
      <c r="H55" s="31"/>
      <c r="I55" s="33">
        <v>1.2500000000000001E-2</v>
      </c>
    </row>
    <row r="56" spans="1:9" x14ac:dyDescent="0.35">
      <c r="A56">
        <v>49</v>
      </c>
      <c r="B56" s="7">
        <v>47484</v>
      </c>
    </row>
    <row r="57" spans="1:9" x14ac:dyDescent="0.35">
      <c r="A57" s="15">
        <v>50</v>
      </c>
      <c r="B57" s="16">
        <v>47515</v>
      </c>
      <c r="C57" s="15"/>
      <c r="D57" s="15"/>
      <c r="E57" s="15"/>
      <c r="F57" s="15"/>
      <c r="G57" s="15"/>
      <c r="H57" s="15"/>
      <c r="I57" s="15"/>
    </row>
    <row r="58" spans="1:9" x14ac:dyDescent="0.35">
      <c r="A58" s="31">
        <v>51</v>
      </c>
      <c r="B58" s="32">
        <v>47543</v>
      </c>
      <c r="C58" s="31"/>
      <c r="D58" s="31"/>
      <c r="E58" s="31"/>
      <c r="F58" s="33">
        <v>0.01</v>
      </c>
      <c r="G58" s="33">
        <v>2.75E-2</v>
      </c>
      <c r="H58" s="31"/>
      <c r="I58" s="33">
        <v>1.2500000000000001E-2</v>
      </c>
    </row>
    <row r="59" spans="1:9" x14ac:dyDescent="0.35">
      <c r="A59" s="15">
        <v>52</v>
      </c>
      <c r="B59" s="16">
        <v>47574</v>
      </c>
      <c r="C59" s="15"/>
      <c r="D59" s="15"/>
      <c r="E59" s="15"/>
      <c r="F59" s="15"/>
      <c r="G59" s="15"/>
      <c r="H59" s="15"/>
      <c r="I59" s="15"/>
    </row>
    <row r="60" spans="1:9" x14ac:dyDescent="0.35">
      <c r="A60">
        <v>53</v>
      </c>
      <c r="B60" s="7">
        <v>47604</v>
      </c>
    </row>
    <row r="61" spans="1:9" x14ac:dyDescent="0.35">
      <c r="A61" s="31">
        <v>54</v>
      </c>
      <c r="B61" s="32">
        <v>47635</v>
      </c>
      <c r="C61" s="33">
        <v>2.2499999999999999E-2</v>
      </c>
      <c r="D61" s="31"/>
      <c r="E61" s="31"/>
      <c r="F61" s="33">
        <v>0.01</v>
      </c>
      <c r="G61" s="33">
        <v>1</v>
      </c>
      <c r="H61" s="31"/>
      <c r="I61" s="33">
        <v>1.2500000000000001E-2</v>
      </c>
    </row>
    <row r="62" spans="1:9" x14ac:dyDescent="0.35">
      <c r="A62">
        <v>55</v>
      </c>
      <c r="B62" s="7">
        <v>47665</v>
      </c>
    </row>
    <row r="63" spans="1:9" x14ac:dyDescent="0.35">
      <c r="A63" s="15">
        <v>56</v>
      </c>
      <c r="B63" s="16">
        <v>47696</v>
      </c>
      <c r="C63" s="15"/>
      <c r="D63" s="15"/>
      <c r="E63" s="15"/>
      <c r="F63" s="15"/>
      <c r="G63" s="15"/>
      <c r="H63" s="15"/>
      <c r="I63" s="15"/>
    </row>
    <row r="64" spans="1:9" x14ac:dyDescent="0.35">
      <c r="A64" s="31">
        <v>57</v>
      </c>
      <c r="B64" s="32">
        <v>47727</v>
      </c>
      <c r="C64" s="31"/>
      <c r="D64" s="31"/>
      <c r="E64" s="31"/>
      <c r="F64" s="33">
        <v>0.01</v>
      </c>
      <c r="G64" s="31"/>
      <c r="H64" s="31"/>
      <c r="I64" s="33">
        <v>1.2500000000000001E-2</v>
      </c>
    </row>
    <row r="65" spans="1:9" x14ac:dyDescent="0.35">
      <c r="A65" s="15">
        <v>58</v>
      </c>
      <c r="B65" s="16">
        <v>47757</v>
      </c>
      <c r="C65" s="15"/>
      <c r="D65" s="15"/>
      <c r="E65" s="15"/>
      <c r="F65" s="15"/>
      <c r="G65" s="15"/>
      <c r="H65" s="15"/>
      <c r="I65" s="15"/>
    </row>
    <row r="66" spans="1:9" x14ac:dyDescent="0.35">
      <c r="A66">
        <v>59</v>
      </c>
      <c r="B66" s="7">
        <v>47788</v>
      </c>
    </row>
    <row r="67" spans="1:9" x14ac:dyDescent="0.35">
      <c r="A67" s="37">
        <v>60</v>
      </c>
      <c r="B67" s="38">
        <v>47818</v>
      </c>
      <c r="C67" s="39">
        <v>1.0225</v>
      </c>
      <c r="D67" s="37"/>
      <c r="E67" s="37"/>
      <c r="F67" s="39">
        <v>1.01</v>
      </c>
      <c r="G67" s="37"/>
      <c r="H67" s="37"/>
      <c r="I67" s="39">
        <v>1.0125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5B527-EC14-41D1-B150-E66574C6CC7E}">
  <sheetPr codeName="Sheet6"/>
  <dimension ref="A1:M60"/>
  <sheetViews>
    <sheetView tabSelected="1" topLeftCell="A4" workbookViewId="0">
      <selection activeCell="J39" sqref="J39"/>
    </sheetView>
  </sheetViews>
  <sheetFormatPr defaultRowHeight="14.5" x14ac:dyDescent="0.35"/>
  <cols>
    <col min="1" max="1" width="68.81640625" bestFit="1" customWidth="1"/>
    <col min="2" max="2" width="28" bestFit="1" customWidth="1"/>
    <col min="3" max="3" width="36.1796875" bestFit="1" customWidth="1"/>
    <col min="4" max="4" width="8.26953125" bestFit="1" customWidth="1"/>
    <col min="7" max="7" width="8.08984375" bestFit="1" customWidth="1"/>
    <col min="8" max="8" width="7.7265625" bestFit="1" customWidth="1"/>
    <col min="9" max="9" width="14.6328125" customWidth="1"/>
    <col min="10" max="11" width="18.6328125" customWidth="1"/>
    <col min="12" max="13" width="7.08984375" style="69" hidden="1" customWidth="1"/>
    <col min="14" max="16384" width="8.7265625" style="69"/>
  </cols>
  <sheetData>
    <row r="1" spans="1:13" ht="18.5" x14ac:dyDescent="0.45">
      <c r="A1" s="68" t="s">
        <v>48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</row>
    <row r="2" spans="1:13" x14ac:dyDescent="0.35">
      <c r="L2"/>
      <c r="M2"/>
    </row>
    <row r="3" spans="1:13" ht="16" x14ac:dyDescent="0.4">
      <c r="A3" s="40" t="s">
        <v>49</v>
      </c>
      <c r="L3"/>
      <c r="M3"/>
    </row>
    <row r="4" spans="1:13" ht="35" customHeight="1" x14ac:dyDescent="0.35">
      <c r="A4" s="30" t="s">
        <v>50</v>
      </c>
      <c r="B4" s="30" t="s">
        <v>36</v>
      </c>
      <c r="C4" s="30" t="s">
        <v>51</v>
      </c>
      <c r="D4" s="30" t="s">
        <v>52</v>
      </c>
      <c r="E4" s="30" t="s">
        <v>53</v>
      </c>
      <c r="F4" s="30" t="s">
        <v>54</v>
      </c>
      <c r="G4" s="30" t="s">
        <v>55</v>
      </c>
      <c r="H4" s="30" t="s">
        <v>35</v>
      </c>
      <c r="I4" s="42" t="s">
        <v>56</v>
      </c>
      <c r="J4" s="30" t="s">
        <v>57</v>
      </c>
      <c r="K4" s="30" t="s">
        <v>58</v>
      </c>
      <c r="L4" s="30" t="s">
        <v>59</v>
      </c>
      <c r="M4" s="30" t="s">
        <v>60</v>
      </c>
    </row>
    <row r="5" spans="1:13" x14ac:dyDescent="0.35">
      <c r="C5" s="41" t="s">
        <v>61</v>
      </c>
      <c r="D5" s="41"/>
      <c r="E5" s="41" t="s">
        <v>61</v>
      </c>
      <c r="I5" s="41" t="s">
        <v>146</v>
      </c>
      <c r="J5" s="41" t="s">
        <v>147</v>
      </c>
      <c r="K5" s="41" t="s">
        <v>62</v>
      </c>
      <c r="L5" s="41" t="s">
        <v>63</v>
      </c>
      <c r="M5" s="41" t="s">
        <v>64</v>
      </c>
    </row>
    <row r="6" spans="1:13" x14ac:dyDescent="0.35">
      <c r="A6" t="s">
        <v>37</v>
      </c>
      <c r="B6" t="s">
        <v>38</v>
      </c>
      <c r="C6" s="43">
        <v>80</v>
      </c>
      <c r="D6" s="44">
        <v>0.05</v>
      </c>
      <c r="E6" s="43">
        <v>3</v>
      </c>
      <c r="F6" s="8">
        <v>4.0000000000000001E-3</v>
      </c>
      <c r="G6" s="45">
        <v>5.5</v>
      </c>
      <c r="H6">
        <v>60</v>
      </c>
      <c r="I6" s="47">
        <v>1.2638960987116541E-7</v>
      </c>
      <c r="J6" s="44">
        <f t="shared" ref="J6:J11" si="0">C6-Beta*D6*100-Gamma*E6</f>
        <v>76.599999999999994</v>
      </c>
      <c r="K6" s="46">
        <f t="shared" ref="K6:K11" si="1">I6*J6</f>
        <v>9.6814441161312703E-6</v>
      </c>
      <c r="L6" s="46">
        <f t="shared" ref="L6:L11" si="2">I6*F6</f>
        <v>5.0555843948466166E-10</v>
      </c>
      <c r="M6" s="46">
        <f t="shared" ref="M6:M11" si="3">I6*G6</f>
        <v>6.9514285429140977E-7</v>
      </c>
    </row>
    <row r="7" spans="1:13" x14ac:dyDescent="0.35">
      <c r="A7" s="11" t="s">
        <v>39</v>
      </c>
      <c r="B7" s="11" t="s">
        <v>40</v>
      </c>
      <c r="C7" s="48">
        <v>130</v>
      </c>
      <c r="D7" s="49">
        <v>0.09</v>
      </c>
      <c r="E7" s="48">
        <v>6</v>
      </c>
      <c r="F7" s="12">
        <v>0.01</v>
      </c>
      <c r="G7" s="50">
        <v>4.2</v>
      </c>
      <c r="H7" s="11">
        <v>48</v>
      </c>
      <c r="I7" s="47">
        <v>0.36448894064544263</v>
      </c>
      <c r="J7" s="49">
        <f t="shared" si="0"/>
        <v>123.7</v>
      </c>
      <c r="K7" s="51">
        <f t="shared" si="1"/>
        <v>45.087281957841256</v>
      </c>
      <c r="L7" s="51">
        <f t="shared" si="2"/>
        <v>3.6448894064544262E-3</v>
      </c>
      <c r="M7" s="51">
        <f t="shared" si="3"/>
        <v>1.5308535507108592</v>
      </c>
    </row>
    <row r="8" spans="1:13" x14ac:dyDescent="0.35">
      <c r="A8" t="s">
        <v>41</v>
      </c>
      <c r="B8" t="s">
        <v>42</v>
      </c>
      <c r="C8" s="43">
        <v>200</v>
      </c>
      <c r="D8" s="44">
        <v>0.14000000000000001</v>
      </c>
      <c r="E8" s="43">
        <v>10</v>
      </c>
      <c r="F8" s="8">
        <v>0.02</v>
      </c>
      <c r="G8" s="45">
        <v>3</v>
      </c>
      <c r="H8">
        <v>36</v>
      </c>
      <c r="I8" s="47">
        <v>0</v>
      </c>
      <c r="J8" s="44">
        <f t="shared" si="0"/>
        <v>190</v>
      </c>
      <c r="K8" s="46">
        <f t="shared" si="1"/>
        <v>0</v>
      </c>
      <c r="L8" s="46">
        <f t="shared" si="2"/>
        <v>0</v>
      </c>
      <c r="M8" s="46">
        <f t="shared" si="3"/>
        <v>0</v>
      </c>
    </row>
    <row r="9" spans="1:13" x14ac:dyDescent="0.35">
      <c r="A9" s="11" t="s">
        <v>43</v>
      </c>
      <c r="B9" s="11" t="s">
        <v>38</v>
      </c>
      <c r="C9" s="48">
        <v>60</v>
      </c>
      <c r="D9" s="49">
        <v>0.04</v>
      </c>
      <c r="E9" s="48">
        <v>2</v>
      </c>
      <c r="F9" s="12">
        <v>4.0000000000000001E-3</v>
      </c>
      <c r="G9" s="50">
        <v>5.8</v>
      </c>
      <c r="H9" s="11">
        <v>60</v>
      </c>
      <c r="I9" s="47">
        <v>0</v>
      </c>
      <c r="J9" s="49">
        <f t="shared" si="0"/>
        <v>57.4</v>
      </c>
      <c r="K9" s="51">
        <f t="shared" si="1"/>
        <v>0</v>
      </c>
      <c r="L9" s="51">
        <f t="shared" si="2"/>
        <v>0</v>
      </c>
      <c r="M9" s="51">
        <f t="shared" si="3"/>
        <v>0</v>
      </c>
    </row>
    <row r="10" spans="1:13" x14ac:dyDescent="0.35">
      <c r="A10" t="s">
        <v>44</v>
      </c>
      <c r="B10" t="s">
        <v>40</v>
      </c>
      <c r="C10" s="43">
        <v>160</v>
      </c>
      <c r="D10" s="44">
        <v>0.11</v>
      </c>
      <c r="E10" s="43">
        <v>8</v>
      </c>
      <c r="F10" s="8">
        <v>0.01</v>
      </c>
      <c r="G10" s="45">
        <v>4.8</v>
      </c>
      <c r="H10">
        <v>54</v>
      </c>
      <c r="I10" s="47">
        <v>0.56448301743406482</v>
      </c>
      <c r="J10" s="44">
        <f t="shared" si="0"/>
        <v>152.1</v>
      </c>
      <c r="K10" s="46">
        <f t="shared" si="1"/>
        <v>85.857866951721249</v>
      </c>
      <c r="L10" s="46">
        <f t="shared" si="2"/>
        <v>5.6448301743406487E-3</v>
      </c>
      <c r="M10" s="46">
        <f t="shared" si="3"/>
        <v>2.7095184836835111</v>
      </c>
    </row>
    <row r="11" spans="1:13" x14ac:dyDescent="0.35">
      <c r="A11" s="11" t="s">
        <v>45</v>
      </c>
      <c r="B11" s="11" t="s">
        <v>42</v>
      </c>
      <c r="C11" s="48">
        <v>220</v>
      </c>
      <c r="D11" s="49">
        <v>0.16</v>
      </c>
      <c r="E11" s="48">
        <v>12</v>
      </c>
      <c r="F11" s="12">
        <v>0.02</v>
      </c>
      <c r="G11" s="50">
        <v>3.5</v>
      </c>
      <c r="H11" s="11">
        <v>42</v>
      </c>
      <c r="I11" s="47">
        <v>7.1027915530882099E-2</v>
      </c>
      <c r="J11" s="49">
        <f t="shared" si="0"/>
        <v>208.4</v>
      </c>
      <c r="K11" s="51">
        <f t="shared" si="1"/>
        <v>14.802217596635829</v>
      </c>
      <c r="L11" s="51">
        <f t="shared" si="2"/>
        <v>1.420558310617642E-3</v>
      </c>
      <c r="M11" s="51">
        <f t="shared" si="3"/>
        <v>0.24859770435808734</v>
      </c>
    </row>
    <row r="12" spans="1:13" x14ac:dyDescent="0.35">
      <c r="L12"/>
      <c r="M12"/>
    </row>
    <row r="13" spans="1:13" ht="16" x14ac:dyDescent="0.4">
      <c r="A13" s="40" t="s">
        <v>65</v>
      </c>
      <c r="B13" s="10" t="s">
        <v>66</v>
      </c>
      <c r="L13"/>
      <c r="M13"/>
    </row>
    <row r="14" spans="1:13" x14ac:dyDescent="0.35">
      <c r="L14"/>
      <c r="M14"/>
    </row>
    <row r="15" spans="1:13" ht="45" customHeight="1" x14ac:dyDescent="0.35">
      <c r="A15" s="52" t="s">
        <v>24</v>
      </c>
      <c r="B15" s="52" t="s">
        <v>25</v>
      </c>
      <c r="C15" s="14" t="s">
        <v>67</v>
      </c>
      <c r="D15" s="30" t="s">
        <v>37</v>
      </c>
      <c r="E15" s="30" t="s">
        <v>39</v>
      </c>
      <c r="F15" s="30" t="s">
        <v>41</v>
      </c>
      <c r="G15" s="30" t="s">
        <v>43</v>
      </c>
      <c r="H15" s="30" t="s">
        <v>44</v>
      </c>
      <c r="I15" s="30" t="s">
        <v>45</v>
      </c>
      <c r="J15" s="52" t="s">
        <v>68</v>
      </c>
      <c r="K15" s="53" t="s">
        <v>69</v>
      </c>
    </row>
    <row r="16" spans="1:13" x14ac:dyDescent="0.35">
      <c r="A16">
        <v>3</v>
      </c>
      <c r="B16" s="7">
        <v>46082</v>
      </c>
      <c r="C16" s="5">
        <f>FABN_Liabilities!E6</f>
        <v>1000</v>
      </c>
      <c r="D16" s="5">
        <f>Bond_Cashflows!C10*$I$6*NOTIONAL_NR</f>
        <v>0</v>
      </c>
      <c r="E16" s="5">
        <f>Bond_Cashflows!D10*$I$7*NOTIONAL_NR</f>
        <v>947.67124567815085</v>
      </c>
      <c r="F16" s="5">
        <f>Bond_Cashflows!E10*$I$8*NOTIONAL_NR</f>
        <v>0</v>
      </c>
      <c r="G16" s="5">
        <f>Bond_Cashflows!F10*$I$9*NOTIONAL_NR</f>
        <v>0</v>
      </c>
      <c r="H16" s="5">
        <f>Bond_Cashflows!G10*$I$10*NOTIONAL_NR</f>
        <v>0</v>
      </c>
      <c r="I16" s="5">
        <f>Bond_Cashflows!H10*$I$11*NOTIONAL_NR</f>
        <v>0</v>
      </c>
      <c r="J16" s="24">
        <f t="shared" ref="J16:J35" si="4">SUM(D16:I16)</f>
        <v>947.67124567815085</v>
      </c>
      <c r="K16" s="24">
        <f t="shared" ref="K16:K35" si="5">J16-C16</f>
        <v>-52.328754321849146</v>
      </c>
    </row>
    <row r="17" spans="1:11" x14ac:dyDescent="0.35">
      <c r="A17" s="11">
        <v>6</v>
      </c>
      <c r="B17" s="54">
        <v>46174</v>
      </c>
      <c r="C17" s="55">
        <f>FABN_Liabilities!E9</f>
        <v>1000</v>
      </c>
      <c r="D17" s="55">
        <f>Bond_Cashflows!C13*$I$6*NOTIONAL_NR</f>
        <v>2.8437662221012216E-4</v>
      </c>
      <c r="E17" s="55">
        <f>Bond_Cashflows!D13*$I$7*NOTIONAL_NR</f>
        <v>0</v>
      </c>
      <c r="F17" s="55">
        <f>Bond_Cashflows!E13*$I$8*NOTIONAL_NR</f>
        <v>0</v>
      </c>
      <c r="G17" s="55">
        <f>Bond_Cashflows!F13*$I$9*NOTIONAL_NR</f>
        <v>0</v>
      </c>
      <c r="H17" s="55">
        <f>Bond_Cashflows!G13*$I$10*NOTIONAL_NR</f>
        <v>0</v>
      </c>
      <c r="I17" s="55">
        <f>Bond_Cashflows!H13*$I$11*NOTIONAL_NR</f>
        <v>0</v>
      </c>
      <c r="J17" s="56">
        <f t="shared" si="4"/>
        <v>2.8437662221012216E-4</v>
      </c>
      <c r="K17" s="56">
        <f t="shared" si="5"/>
        <v>-999.99971562337782</v>
      </c>
    </row>
    <row r="18" spans="1:11" x14ac:dyDescent="0.35">
      <c r="A18">
        <v>9</v>
      </c>
      <c r="B18" s="7">
        <v>46266</v>
      </c>
      <c r="C18" s="5">
        <f>FABN_Liabilities!E12</f>
        <v>1000</v>
      </c>
      <c r="D18" s="5">
        <f>Bond_Cashflows!C16*$I$6*NOTIONAL_NR</f>
        <v>0</v>
      </c>
      <c r="E18" s="5">
        <f>Bond_Cashflows!D16*$I$7*NOTIONAL_NR</f>
        <v>947.67124567815085</v>
      </c>
      <c r="F18" s="5">
        <f>Bond_Cashflows!E16*$I$8*NOTIONAL_NR</f>
        <v>0</v>
      </c>
      <c r="G18" s="5">
        <f>Bond_Cashflows!F16*$I$9*NOTIONAL_NR</f>
        <v>0</v>
      </c>
      <c r="H18" s="5">
        <f>Bond_Cashflows!G16*$I$10*NOTIONAL_NR</f>
        <v>1552.3282979436783</v>
      </c>
      <c r="I18" s="5">
        <f>Bond_Cashflows!H16*$I$11*NOTIONAL_NR</f>
        <v>0</v>
      </c>
      <c r="J18" s="24">
        <f t="shared" si="4"/>
        <v>2499.9995436218292</v>
      </c>
      <c r="K18" s="24">
        <f t="shared" si="5"/>
        <v>1499.9995436218292</v>
      </c>
    </row>
    <row r="19" spans="1:11" x14ac:dyDescent="0.35">
      <c r="A19" s="11">
        <v>12</v>
      </c>
      <c r="B19" s="54">
        <v>46357</v>
      </c>
      <c r="C19" s="55">
        <f>FABN_Liabilities!E15</f>
        <v>1000</v>
      </c>
      <c r="D19" s="55">
        <f>Bond_Cashflows!C19*$I$6*NOTIONAL_NR</f>
        <v>2.8437662221012216E-4</v>
      </c>
      <c r="E19" s="55">
        <f>Bond_Cashflows!D19*$I$7*NOTIONAL_NR</f>
        <v>0</v>
      </c>
      <c r="F19" s="55">
        <f>Bond_Cashflows!E19*$I$8*NOTIONAL_NR</f>
        <v>0</v>
      </c>
      <c r="G19" s="55">
        <f>Bond_Cashflows!F19*$I$9*NOTIONAL_NR</f>
        <v>0</v>
      </c>
      <c r="H19" s="55">
        <f>Bond_Cashflows!G19*$I$10*NOTIONAL_NR</f>
        <v>0</v>
      </c>
      <c r="I19" s="55">
        <f>Bond_Cashflows!H19*$I$11*NOTIONAL_NR</f>
        <v>0</v>
      </c>
      <c r="J19" s="56">
        <f t="shared" si="4"/>
        <v>2.8437662221012216E-4</v>
      </c>
      <c r="K19" s="56">
        <f t="shared" si="5"/>
        <v>-999.99971562337782</v>
      </c>
    </row>
    <row r="20" spans="1:11" x14ac:dyDescent="0.35">
      <c r="A20">
        <v>15</v>
      </c>
      <c r="B20" s="7">
        <v>46447</v>
      </c>
      <c r="C20" s="5">
        <f>FABN_Liabilities!E18</f>
        <v>1000</v>
      </c>
      <c r="D20" s="5">
        <f>Bond_Cashflows!C22*$I$6*NOTIONAL_NR</f>
        <v>0</v>
      </c>
      <c r="E20" s="5">
        <f>Bond_Cashflows!D22*$I$7*NOTIONAL_NR</f>
        <v>947.67124567815085</v>
      </c>
      <c r="F20" s="5">
        <f>Bond_Cashflows!E22*$I$8*NOTIONAL_NR</f>
        <v>0</v>
      </c>
      <c r="G20" s="5">
        <f>Bond_Cashflows!F22*$I$9*NOTIONAL_NR</f>
        <v>0</v>
      </c>
      <c r="H20" s="5">
        <f>Bond_Cashflows!G22*$I$10*NOTIONAL_NR</f>
        <v>1552.3282979436783</v>
      </c>
      <c r="I20" s="5">
        <f>Bond_Cashflows!H22*$I$11*NOTIONAL_NR</f>
        <v>0</v>
      </c>
      <c r="J20" s="24">
        <f t="shared" si="4"/>
        <v>2499.9995436218292</v>
      </c>
      <c r="K20" s="24">
        <f t="shared" si="5"/>
        <v>1499.9995436218292</v>
      </c>
    </row>
    <row r="21" spans="1:11" x14ac:dyDescent="0.35">
      <c r="A21" s="11">
        <v>18</v>
      </c>
      <c r="B21" s="54">
        <v>46539</v>
      </c>
      <c r="C21" s="55">
        <f>FABN_Liabilities!E21</f>
        <v>1000</v>
      </c>
      <c r="D21" s="55">
        <f>Bond_Cashflows!C25*$I$6*NOTIONAL_NR</f>
        <v>2.8437662221012216E-4</v>
      </c>
      <c r="E21" s="55">
        <f>Bond_Cashflows!D25*$I$7*NOTIONAL_NR</f>
        <v>0</v>
      </c>
      <c r="F21" s="55">
        <f>Bond_Cashflows!E25*$I$8*NOTIONAL_NR</f>
        <v>0</v>
      </c>
      <c r="G21" s="55">
        <f>Bond_Cashflows!F25*$I$9*NOTIONAL_NR</f>
        <v>0</v>
      </c>
      <c r="H21" s="55">
        <f>Bond_Cashflows!G25*$I$10*NOTIONAL_NR</f>
        <v>0</v>
      </c>
      <c r="I21" s="55">
        <f>Bond_Cashflows!H25*$I$11*NOTIONAL_NR</f>
        <v>0</v>
      </c>
      <c r="J21" s="56">
        <f t="shared" si="4"/>
        <v>2.8437662221012216E-4</v>
      </c>
      <c r="K21" s="56">
        <f t="shared" si="5"/>
        <v>-999.99971562337782</v>
      </c>
    </row>
    <row r="22" spans="1:11" x14ac:dyDescent="0.35">
      <c r="A22">
        <v>21</v>
      </c>
      <c r="B22" s="7">
        <v>46631</v>
      </c>
      <c r="C22" s="5">
        <f>FABN_Liabilities!E24</f>
        <v>1000</v>
      </c>
      <c r="D22" s="5">
        <f>Bond_Cashflows!C28*$I$6*NOTIONAL_NR</f>
        <v>0</v>
      </c>
      <c r="E22" s="5">
        <f>Bond_Cashflows!D28*$I$7*NOTIONAL_NR</f>
        <v>947.67124567815085</v>
      </c>
      <c r="F22" s="5">
        <f>Bond_Cashflows!E28*$I$8*NOTIONAL_NR</f>
        <v>0</v>
      </c>
      <c r="G22" s="5">
        <f>Bond_Cashflows!F28*$I$9*NOTIONAL_NR</f>
        <v>0</v>
      </c>
      <c r="H22" s="5">
        <f>Bond_Cashflows!G28*$I$10*NOTIONAL_NR</f>
        <v>1552.3282979436783</v>
      </c>
      <c r="I22" s="5">
        <f>Bond_Cashflows!H28*$I$11*NOTIONAL_NR</f>
        <v>0</v>
      </c>
      <c r="J22" s="24">
        <f t="shared" si="4"/>
        <v>2499.9995436218292</v>
      </c>
      <c r="K22" s="24">
        <f t="shared" si="5"/>
        <v>1499.9995436218292</v>
      </c>
    </row>
    <row r="23" spans="1:11" x14ac:dyDescent="0.35">
      <c r="A23" s="11">
        <v>24</v>
      </c>
      <c r="B23" s="54">
        <v>46722</v>
      </c>
      <c r="C23" s="55">
        <f>FABN_Liabilities!E27</f>
        <v>1000</v>
      </c>
      <c r="D23" s="55">
        <f>Bond_Cashflows!C31*$I$6*NOTIONAL_NR</f>
        <v>2.8437662221012216E-4</v>
      </c>
      <c r="E23" s="55">
        <f>Bond_Cashflows!D31*$I$7*NOTIONAL_NR</f>
        <v>0</v>
      </c>
      <c r="F23" s="55">
        <f>Bond_Cashflows!E31*$I$8*NOTIONAL_NR</f>
        <v>0</v>
      </c>
      <c r="G23" s="55">
        <f>Bond_Cashflows!F31*$I$9*NOTIONAL_NR</f>
        <v>0</v>
      </c>
      <c r="H23" s="55">
        <f>Bond_Cashflows!G31*$I$10*NOTIONAL_NR</f>
        <v>0</v>
      </c>
      <c r="I23" s="55">
        <f>Bond_Cashflows!H31*$I$11*NOTIONAL_NR</f>
        <v>0</v>
      </c>
      <c r="J23" s="56">
        <f t="shared" si="4"/>
        <v>2.8437662221012216E-4</v>
      </c>
      <c r="K23" s="56">
        <f t="shared" si="5"/>
        <v>-999.99971562337782</v>
      </c>
    </row>
    <row r="24" spans="1:11" x14ac:dyDescent="0.35">
      <c r="A24">
        <v>27</v>
      </c>
      <c r="B24" s="7">
        <v>46813</v>
      </c>
      <c r="C24" s="5">
        <f>FABN_Liabilities!E30</f>
        <v>1000</v>
      </c>
      <c r="D24" s="5">
        <f>Bond_Cashflows!C34*$I$6*NOTIONAL_NR</f>
        <v>0</v>
      </c>
      <c r="E24" s="5">
        <f>Bond_Cashflows!D34*$I$7*NOTIONAL_NR</f>
        <v>947.67124567815085</v>
      </c>
      <c r="F24" s="5">
        <f>Bond_Cashflows!E34*$I$8*NOTIONAL_NR</f>
        <v>0</v>
      </c>
      <c r="G24" s="5">
        <f>Bond_Cashflows!F34*$I$9*NOTIONAL_NR</f>
        <v>0</v>
      </c>
      <c r="H24" s="5">
        <f>Bond_Cashflows!G34*$I$10*NOTIONAL_NR</f>
        <v>1552.3282979436783</v>
      </c>
      <c r="I24" s="5">
        <f>Bond_Cashflows!H34*$I$11*NOTIONAL_NR</f>
        <v>0</v>
      </c>
      <c r="J24" s="24">
        <f t="shared" si="4"/>
        <v>2499.9995436218292</v>
      </c>
      <c r="K24" s="24">
        <f t="shared" si="5"/>
        <v>1499.9995436218292</v>
      </c>
    </row>
    <row r="25" spans="1:11" x14ac:dyDescent="0.35">
      <c r="A25" s="11">
        <v>30</v>
      </c>
      <c r="B25" s="54">
        <v>46905</v>
      </c>
      <c r="C25" s="55">
        <f>FABN_Liabilities!E33</f>
        <v>1000</v>
      </c>
      <c r="D25" s="55">
        <f>Bond_Cashflows!C37*$I$6*NOTIONAL_NR</f>
        <v>2.8437662221012216E-4</v>
      </c>
      <c r="E25" s="55">
        <f>Bond_Cashflows!D37*$I$7*NOTIONAL_NR</f>
        <v>0</v>
      </c>
      <c r="F25" s="55">
        <f>Bond_Cashflows!E37*$I$8*NOTIONAL_NR</f>
        <v>0</v>
      </c>
      <c r="G25" s="55">
        <f>Bond_Cashflows!F37*$I$9*NOTIONAL_NR</f>
        <v>0</v>
      </c>
      <c r="H25" s="55">
        <f>Bond_Cashflows!G37*$I$10*NOTIONAL_NR</f>
        <v>0</v>
      </c>
      <c r="I25" s="55">
        <f>Bond_Cashflows!H37*$I$11*NOTIONAL_NR</f>
        <v>0</v>
      </c>
      <c r="J25" s="56">
        <f t="shared" si="4"/>
        <v>2.8437662221012216E-4</v>
      </c>
      <c r="K25" s="56">
        <f t="shared" si="5"/>
        <v>-999.99971562337782</v>
      </c>
    </row>
    <row r="26" spans="1:11" x14ac:dyDescent="0.35">
      <c r="A26">
        <v>33</v>
      </c>
      <c r="B26" s="7">
        <v>46997</v>
      </c>
      <c r="C26" s="5">
        <f>FABN_Liabilities!E36</f>
        <v>1000</v>
      </c>
      <c r="D26" s="5">
        <f>Bond_Cashflows!C40*$I$6*NOTIONAL_NR</f>
        <v>0</v>
      </c>
      <c r="E26" s="5">
        <f>Bond_Cashflows!D40*$I$7*NOTIONAL_NR</f>
        <v>947.67124567815085</v>
      </c>
      <c r="F26" s="5">
        <f>Bond_Cashflows!E40*$I$8*NOTIONAL_NR</f>
        <v>0</v>
      </c>
      <c r="G26" s="5">
        <f>Bond_Cashflows!F40*$I$9*NOTIONAL_NR</f>
        <v>0</v>
      </c>
      <c r="H26" s="5">
        <f>Bond_Cashflows!G40*$I$10*NOTIONAL_NR</f>
        <v>1552.3282979436783</v>
      </c>
      <c r="I26" s="5">
        <f>Bond_Cashflows!H40*$I$11*NOTIONAL_NR</f>
        <v>0</v>
      </c>
      <c r="J26" s="24">
        <f t="shared" si="4"/>
        <v>2499.9995436218292</v>
      </c>
      <c r="K26" s="24">
        <f t="shared" si="5"/>
        <v>1499.9995436218292</v>
      </c>
    </row>
    <row r="27" spans="1:11" x14ac:dyDescent="0.35">
      <c r="A27" s="11">
        <v>36</v>
      </c>
      <c r="B27" s="54">
        <v>47088</v>
      </c>
      <c r="C27" s="55">
        <f>FABN_Liabilities!E39</f>
        <v>1000</v>
      </c>
      <c r="D27" s="55">
        <f>Bond_Cashflows!C43*$I$6*NOTIONAL_NR</f>
        <v>2.8437662221012216E-4</v>
      </c>
      <c r="E27" s="55">
        <f>Bond_Cashflows!D43*$I$7*NOTIONAL_NR</f>
        <v>0</v>
      </c>
      <c r="F27" s="55">
        <f>Bond_Cashflows!E43*$I$8*NOTIONAL_NR</f>
        <v>0</v>
      </c>
      <c r="G27" s="55">
        <f>Bond_Cashflows!F43*$I$9*NOTIONAL_NR</f>
        <v>0</v>
      </c>
      <c r="H27" s="55">
        <f>Bond_Cashflows!G43*$I$10*NOTIONAL_NR</f>
        <v>0</v>
      </c>
      <c r="I27" s="55">
        <f>Bond_Cashflows!H43*$I$11*NOTIONAL_NR</f>
        <v>0</v>
      </c>
      <c r="J27" s="56">
        <f t="shared" si="4"/>
        <v>2.8437662221012216E-4</v>
      </c>
      <c r="K27" s="56">
        <f t="shared" si="5"/>
        <v>-999.99971562337782</v>
      </c>
    </row>
    <row r="28" spans="1:11" x14ac:dyDescent="0.35">
      <c r="A28">
        <v>39</v>
      </c>
      <c r="B28" s="7">
        <v>47178</v>
      </c>
      <c r="C28" s="5">
        <f>FABN_Liabilities!E42</f>
        <v>1000</v>
      </c>
      <c r="D28" s="5">
        <f>Bond_Cashflows!C46*$I$6*NOTIONAL_NR</f>
        <v>0</v>
      </c>
      <c r="E28" s="5">
        <f>Bond_Cashflows!D46*$I$7*NOTIONAL_NR</f>
        <v>947.67124567815085</v>
      </c>
      <c r="F28" s="5">
        <f>Bond_Cashflows!E46*$I$8*NOTIONAL_NR</f>
        <v>0</v>
      </c>
      <c r="G28" s="5">
        <f>Bond_Cashflows!F46*$I$9*NOTIONAL_NR</f>
        <v>0</v>
      </c>
      <c r="H28" s="5">
        <f>Bond_Cashflows!G46*$I$10*NOTIONAL_NR</f>
        <v>1552.3282979436783</v>
      </c>
      <c r="I28" s="5">
        <f>Bond_Cashflows!H46*$I$11*NOTIONAL_NR</f>
        <v>0</v>
      </c>
      <c r="J28" s="24">
        <f t="shared" si="4"/>
        <v>2499.9995436218292</v>
      </c>
      <c r="K28" s="24">
        <f t="shared" si="5"/>
        <v>1499.9995436218292</v>
      </c>
    </row>
    <row r="29" spans="1:11" x14ac:dyDescent="0.35">
      <c r="A29" s="11">
        <v>42</v>
      </c>
      <c r="B29" s="54">
        <v>47270</v>
      </c>
      <c r="C29" s="55">
        <f>FABN_Liabilities!E45</f>
        <v>1000</v>
      </c>
      <c r="D29" s="55">
        <f>Bond_Cashflows!C49*$I$6*NOTIONAL_NR</f>
        <v>2.8437662221012216E-4</v>
      </c>
      <c r="E29" s="55">
        <f>Bond_Cashflows!D49*$I$7*NOTIONAL_NR</f>
        <v>0</v>
      </c>
      <c r="F29" s="55">
        <f>Bond_Cashflows!E49*$I$8*NOTIONAL_NR</f>
        <v>0</v>
      </c>
      <c r="G29" s="55">
        <f>Bond_Cashflows!F49*$I$9*NOTIONAL_NR</f>
        <v>0</v>
      </c>
      <c r="H29" s="55">
        <f>Bond_Cashflows!G49*$I$10*NOTIONAL_NR</f>
        <v>0</v>
      </c>
      <c r="I29" s="55">
        <f>Bond_Cashflows!H49*$I$11*NOTIONAL_NR</f>
        <v>7102.7915530882101</v>
      </c>
      <c r="J29" s="56">
        <f t="shared" si="4"/>
        <v>7102.7918374648325</v>
      </c>
      <c r="K29" s="56">
        <f t="shared" si="5"/>
        <v>6102.7918374648325</v>
      </c>
    </row>
    <row r="30" spans="1:11" x14ac:dyDescent="0.35">
      <c r="A30">
        <v>45</v>
      </c>
      <c r="B30" s="7">
        <v>47362</v>
      </c>
      <c r="C30" s="5">
        <f>FABN_Liabilities!E48</f>
        <v>1000</v>
      </c>
      <c r="D30" s="5">
        <f>Bond_Cashflows!C52*$I$6*NOTIONAL_NR</f>
        <v>0</v>
      </c>
      <c r="E30" s="5">
        <f>Bond_Cashflows!D52*$I$7*NOTIONAL_NR</f>
        <v>947.67124567815085</v>
      </c>
      <c r="F30" s="5">
        <f>Bond_Cashflows!E52*$I$8*NOTIONAL_NR</f>
        <v>0</v>
      </c>
      <c r="G30" s="5">
        <f>Bond_Cashflows!F52*$I$9*NOTIONAL_NR</f>
        <v>0</v>
      </c>
      <c r="H30" s="5">
        <f>Bond_Cashflows!G52*$I$10*NOTIONAL_NR</f>
        <v>1552.3282979436783</v>
      </c>
      <c r="I30" s="5">
        <f>Bond_Cashflows!H52*$I$11*NOTIONAL_NR</f>
        <v>0</v>
      </c>
      <c r="J30" s="24">
        <f t="shared" si="4"/>
        <v>2499.9995436218292</v>
      </c>
      <c r="K30" s="24">
        <f t="shared" si="5"/>
        <v>1499.9995436218292</v>
      </c>
    </row>
    <row r="31" spans="1:11" x14ac:dyDescent="0.35">
      <c r="A31" s="11">
        <v>48</v>
      </c>
      <c r="B31" s="54">
        <v>47453</v>
      </c>
      <c r="C31" s="55">
        <f>FABN_Liabilities!E51</f>
        <v>1000</v>
      </c>
      <c r="D31" s="55">
        <f>Bond_Cashflows!C55*$I$6*NOTIONAL_NR</f>
        <v>2.8437662221012216E-4</v>
      </c>
      <c r="E31" s="55">
        <f>Bond_Cashflows!D55*$I$7*NOTIONAL_NR</f>
        <v>36448.894064544264</v>
      </c>
      <c r="F31" s="55">
        <f>Bond_Cashflows!E55*$I$8*NOTIONAL_NR</f>
        <v>0</v>
      </c>
      <c r="G31" s="55">
        <f>Bond_Cashflows!F55*$I$9*NOTIONAL_NR</f>
        <v>0</v>
      </c>
      <c r="H31" s="55">
        <f>Bond_Cashflows!G55*$I$10*NOTIONAL_NR</f>
        <v>0</v>
      </c>
      <c r="I31" s="55">
        <f>Bond_Cashflows!H55*$I$11*NOTIONAL_NR</f>
        <v>0</v>
      </c>
      <c r="J31" s="56">
        <f t="shared" si="4"/>
        <v>36448.894348920883</v>
      </c>
      <c r="K31" s="56">
        <f t="shared" si="5"/>
        <v>35448.894348920883</v>
      </c>
    </row>
    <row r="32" spans="1:11" x14ac:dyDescent="0.35">
      <c r="A32">
        <v>51</v>
      </c>
      <c r="B32" s="7">
        <v>47543</v>
      </c>
      <c r="C32" s="5">
        <f>FABN_Liabilities!E54</f>
        <v>1000</v>
      </c>
      <c r="D32" s="5">
        <f>Bond_Cashflows!C58*$I$6*NOTIONAL_NR</f>
        <v>0</v>
      </c>
      <c r="E32" s="5">
        <f>Bond_Cashflows!D58*$I$7*NOTIONAL_NR</f>
        <v>0</v>
      </c>
      <c r="F32" s="5">
        <f>Bond_Cashflows!E58*$I$8*NOTIONAL_NR</f>
        <v>0</v>
      </c>
      <c r="G32" s="5">
        <f>Bond_Cashflows!F58*$I$9*NOTIONAL_NR</f>
        <v>0</v>
      </c>
      <c r="H32" s="5">
        <f>Bond_Cashflows!G58*$I$10*NOTIONAL_NR</f>
        <v>1552.3282979436783</v>
      </c>
      <c r="I32" s="5">
        <f>Bond_Cashflows!H58*$I$11*NOTIONAL_NR</f>
        <v>0</v>
      </c>
      <c r="J32" s="24">
        <f t="shared" si="4"/>
        <v>1552.3282979436783</v>
      </c>
      <c r="K32" s="24">
        <f t="shared" si="5"/>
        <v>552.32829794367831</v>
      </c>
    </row>
    <row r="33" spans="1:11" x14ac:dyDescent="0.35">
      <c r="A33" s="11">
        <v>54</v>
      </c>
      <c r="B33" s="54">
        <v>47635</v>
      </c>
      <c r="C33" s="55">
        <f>FABN_Liabilities!E57</f>
        <v>1000</v>
      </c>
      <c r="D33" s="55">
        <f>Bond_Cashflows!C61*$I$6*NOTIONAL_NR</f>
        <v>2.8437662221012216E-4</v>
      </c>
      <c r="E33" s="55">
        <f>Bond_Cashflows!D61*$I$7*NOTIONAL_NR</f>
        <v>0</v>
      </c>
      <c r="F33" s="55">
        <f>Bond_Cashflows!E61*$I$8*NOTIONAL_NR</f>
        <v>0</v>
      </c>
      <c r="G33" s="55">
        <f>Bond_Cashflows!F61*$I$9*NOTIONAL_NR</f>
        <v>0</v>
      </c>
      <c r="H33" s="55">
        <f>Bond_Cashflows!G61*$I$10*NOTIONAL_NR</f>
        <v>56448.301743406482</v>
      </c>
      <c r="I33" s="55">
        <f>Bond_Cashflows!H61*$I$11*NOTIONAL_NR</f>
        <v>0</v>
      </c>
      <c r="J33" s="56">
        <f t="shared" si="4"/>
        <v>56448.302027783102</v>
      </c>
      <c r="K33" s="56">
        <f t="shared" si="5"/>
        <v>55448.302027783102</v>
      </c>
    </row>
    <row r="34" spans="1:11" x14ac:dyDescent="0.35">
      <c r="A34">
        <v>57</v>
      </c>
      <c r="B34" s="7">
        <v>47727</v>
      </c>
      <c r="C34" s="5">
        <f>FABN_Liabilities!E60</f>
        <v>1000</v>
      </c>
      <c r="D34" s="5">
        <f>Bond_Cashflows!C64*$I$6*NOTIONAL_NR</f>
        <v>0</v>
      </c>
      <c r="E34" s="5">
        <f>Bond_Cashflows!D64*$I$7*NOTIONAL_NR</f>
        <v>0</v>
      </c>
      <c r="F34" s="5">
        <f>Bond_Cashflows!E64*$I$8*NOTIONAL_NR</f>
        <v>0</v>
      </c>
      <c r="G34" s="5">
        <f>Bond_Cashflows!F64*$I$9*NOTIONAL_NR</f>
        <v>0</v>
      </c>
      <c r="H34" s="5">
        <f>Bond_Cashflows!G64*$I$10*NOTIONAL_NR</f>
        <v>0</v>
      </c>
      <c r="I34" s="5">
        <f>Bond_Cashflows!H64*$I$11*NOTIONAL_NR</f>
        <v>0</v>
      </c>
      <c r="J34" s="24">
        <f t="shared" si="4"/>
        <v>0</v>
      </c>
      <c r="K34" s="24">
        <f t="shared" si="5"/>
        <v>-1000</v>
      </c>
    </row>
    <row r="35" spans="1:11" s="71" customFormat="1" x14ac:dyDescent="0.35">
      <c r="A35" s="58">
        <v>60</v>
      </c>
      <c r="B35" s="59">
        <v>47818</v>
      </c>
      <c r="C35" s="57">
        <f>FABN_Liabilities!E63</f>
        <v>101000</v>
      </c>
      <c r="D35" s="57">
        <f>Bond_Cashflows!C67*$I$6*NOTIONAL_NR</f>
        <v>1.2923337609326664E-2</v>
      </c>
      <c r="E35" s="57">
        <f>Bond_Cashflows!D67*$I$7*NOTIONAL_NR</f>
        <v>0</v>
      </c>
      <c r="F35" s="57">
        <f>Bond_Cashflows!E67*$I$8*NOTIONAL_NR</f>
        <v>0</v>
      </c>
      <c r="G35" s="57">
        <f>Bond_Cashflows!F67*$I$9*NOTIONAL_NR</f>
        <v>0</v>
      </c>
      <c r="H35" s="57">
        <f>Bond_Cashflows!G67*$I$10*NOTIONAL_NR</f>
        <v>0</v>
      </c>
      <c r="I35" s="57">
        <f>Bond_Cashflows!H67*$I$11*NOTIONAL_NR</f>
        <v>0</v>
      </c>
      <c r="J35" s="57">
        <f>SUM(D35:I35)</f>
        <v>1.2923337609326664E-2</v>
      </c>
      <c r="K35" s="57">
        <f t="shared" si="5"/>
        <v>-100999.98707666239</v>
      </c>
    </row>
    <row r="36" spans="1:11" s="70" customFormat="1" x14ac:dyDescent="0.35">
      <c r="A36" s="3" t="s">
        <v>30</v>
      </c>
      <c r="B36" s="3"/>
      <c r="C36" s="60">
        <f>SUM(C16:C35)</f>
        <v>120000</v>
      </c>
      <c r="D36" s="3"/>
      <c r="E36" s="3"/>
      <c r="F36" s="3"/>
      <c r="G36" s="3"/>
      <c r="H36" s="3"/>
      <c r="I36" s="3"/>
      <c r="J36" s="60">
        <f>SUM(J16:J35)</f>
        <v>119999.9991927408</v>
      </c>
      <c r="K36" s="60">
        <f>SUM(K16:K35)</f>
        <v>-8.0725920270197093E-4</v>
      </c>
    </row>
    <row r="38" spans="1:11" ht="16" x14ac:dyDescent="0.4">
      <c r="A38" s="40" t="s">
        <v>70</v>
      </c>
    </row>
    <row r="39" spans="1:11" x14ac:dyDescent="0.35">
      <c r="A39" s="1" t="s">
        <v>71</v>
      </c>
      <c r="C39" s="9"/>
      <c r="I39" s="61" t="s">
        <v>72</v>
      </c>
      <c r="J39" s="62">
        <f>SUM(K6:K11)</f>
        <v>145.74737618764246</v>
      </c>
    </row>
    <row r="41" spans="1:11" ht="16" x14ac:dyDescent="0.4">
      <c r="A41" s="40" t="s">
        <v>73</v>
      </c>
    </row>
    <row r="42" spans="1:11" x14ac:dyDescent="0.35">
      <c r="A42" s="28" t="s">
        <v>74</v>
      </c>
      <c r="B42" s="28"/>
      <c r="C42" s="28" t="s">
        <v>75</v>
      </c>
      <c r="D42" s="28" t="s">
        <v>76</v>
      </c>
      <c r="E42" s="28" t="s">
        <v>77</v>
      </c>
    </row>
    <row r="43" spans="1:11" x14ac:dyDescent="0.35">
      <c r="A43" t="s">
        <v>78</v>
      </c>
      <c r="C43" s="46">
        <f>SUM(I6:I11)</f>
        <v>0.99999999999999944</v>
      </c>
      <c r="D43" t="s">
        <v>79</v>
      </c>
      <c r="E43" s="45">
        <v>1</v>
      </c>
    </row>
    <row r="44" spans="1:11" x14ac:dyDescent="0.35">
      <c r="A44" s="11" t="s">
        <v>80</v>
      </c>
      <c r="B44" s="11"/>
      <c r="C44" s="51">
        <f>SUM(L6:L11)</f>
        <v>1.0710278396971156E-2</v>
      </c>
      <c r="D44" s="11" t="s">
        <v>81</v>
      </c>
      <c r="E44" s="12">
        <f>B_RBC</f>
        <v>1.4999999999999999E-2</v>
      </c>
      <c r="F44" s="69"/>
      <c r="G44" s="69"/>
      <c r="H44" s="69"/>
      <c r="I44" s="69"/>
      <c r="J44" s="69"/>
      <c r="K44" s="69"/>
    </row>
    <row r="45" spans="1:11" x14ac:dyDescent="0.35">
      <c r="A45" t="s">
        <v>82</v>
      </c>
      <c r="C45" s="44">
        <f>SUM(M6:M11)</f>
        <v>4.4889704338953118</v>
      </c>
      <c r="D45" t="s">
        <v>81</v>
      </c>
      <c r="E45" s="44">
        <f>D_L+Epsilon</f>
        <v>5.25</v>
      </c>
      <c r="F45" s="69"/>
      <c r="G45" s="69"/>
      <c r="H45" s="69"/>
      <c r="I45" s="69"/>
      <c r="J45" s="69"/>
      <c r="K45" s="69"/>
    </row>
    <row r="46" spans="1:11" x14ac:dyDescent="0.35">
      <c r="A46" s="11" t="s">
        <v>83</v>
      </c>
      <c r="B46" s="11"/>
      <c r="C46" s="49">
        <f>SUM(M6:M11)</f>
        <v>4.4889704338953118</v>
      </c>
      <c r="D46" s="11" t="s">
        <v>84</v>
      </c>
      <c r="E46" s="49">
        <f>D_L-Epsilon</f>
        <v>3.75</v>
      </c>
      <c r="F46" s="69"/>
      <c r="G46" s="69"/>
      <c r="H46" s="69"/>
      <c r="I46" s="69"/>
      <c r="J46" s="69"/>
      <c r="K46" s="69"/>
    </row>
    <row r="47" spans="1:11" x14ac:dyDescent="0.35">
      <c r="A47" t="s">
        <v>85</v>
      </c>
      <c r="C47" s="46">
        <f>SUMIF(B6:B11,"BBB",I6:I11)</f>
        <v>7.1027915530882099E-2</v>
      </c>
      <c r="D47" t="s">
        <v>81</v>
      </c>
      <c r="E47" s="45">
        <f>q_BBB</f>
        <v>0.35</v>
      </c>
      <c r="F47" s="69"/>
      <c r="G47" s="69"/>
      <c r="H47" s="69"/>
      <c r="I47" s="69"/>
      <c r="J47" s="69"/>
      <c r="K47" s="69"/>
    </row>
    <row r="48" spans="1:11" x14ac:dyDescent="0.35">
      <c r="A48" s="11" t="s">
        <v>86</v>
      </c>
      <c r="B48" s="11"/>
      <c r="C48" s="55">
        <f>SUM(J16:J35)</f>
        <v>119999.9991927408</v>
      </c>
      <c r="D48" s="11" t="s">
        <v>84</v>
      </c>
      <c r="E48" s="55">
        <f>SUM(C16:C35)</f>
        <v>120000</v>
      </c>
      <c r="F48" s="69"/>
      <c r="G48" s="69"/>
      <c r="H48" s="69"/>
      <c r="I48" s="69"/>
      <c r="J48" s="69"/>
      <c r="K48" s="69"/>
    </row>
    <row r="49" spans="1:11" x14ac:dyDescent="0.35">
      <c r="A49" t="s">
        <v>87</v>
      </c>
      <c r="C49" s="46">
        <f>MIN(I6:I11)</f>
        <v>0</v>
      </c>
      <c r="D49" t="s">
        <v>84</v>
      </c>
      <c r="E49" s="43">
        <v>0</v>
      </c>
    </row>
    <row r="51" spans="1:11" ht="16" x14ac:dyDescent="0.4">
      <c r="A51" s="40" t="s">
        <v>88</v>
      </c>
    </row>
    <row r="52" spans="1:11" x14ac:dyDescent="0.35">
      <c r="A52" s="1" t="s">
        <v>89</v>
      </c>
      <c r="B52" s="46">
        <f>SUM(K6:K11)</f>
        <v>145.74737618764246</v>
      </c>
      <c r="C52" s="10" t="s">
        <v>90</v>
      </c>
    </row>
    <row r="53" spans="1:11" x14ac:dyDescent="0.35">
      <c r="A53" s="63" t="s">
        <v>91</v>
      </c>
      <c r="B53" s="51">
        <f>SUM(I6:I11)</f>
        <v>0.99999999999999944</v>
      </c>
      <c r="C53" s="13" t="s">
        <v>92</v>
      </c>
      <c r="D53" s="69"/>
      <c r="E53" s="69"/>
      <c r="F53" s="69"/>
      <c r="G53" s="69"/>
      <c r="H53" s="69"/>
      <c r="I53" s="69"/>
      <c r="J53" s="69"/>
      <c r="K53" s="69"/>
    </row>
    <row r="54" spans="1:11" x14ac:dyDescent="0.35">
      <c r="A54" s="1" t="s">
        <v>93</v>
      </c>
      <c r="B54" s="46">
        <f>SUM(M6:M11)</f>
        <v>4.4889704338953118</v>
      </c>
      <c r="C54" s="10" t="s">
        <v>94</v>
      </c>
      <c r="D54" s="69"/>
      <c r="E54" s="69"/>
      <c r="F54" s="69"/>
      <c r="G54" s="69"/>
      <c r="H54" s="69"/>
      <c r="I54" s="69"/>
      <c r="J54" s="69"/>
      <c r="K54" s="69"/>
    </row>
    <row r="55" spans="1:11" x14ac:dyDescent="0.35">
      <c r="A55" s="63" t="s">
        <v>95</v>
      </c>
      <c r="B55" s="51">
        <f>SUM(L6:L11)</f>
        <v>1.0710278396971156E-2</v>
      </c>
      <c r="C55" s="13" t="s">
        <v>96</v>
      </c>
      <c r="D55" s="69"/>
      <c r="E55" s="69"/>
      <c r="F55" s="69"/>
      <c r="G55" s="69"/>
      <c r="H55" s="69"/>
      <c r="I55" s="69"/>
      <c r="J55" s="69"/>
      <c r="K55" s="69"/>
    </row>
    <row r="56" spans="1:11" x14ac:dyDescent="0.35">
      <c r="A56" s="1" t="s">
        <v>97</v>
      </c>
      <c r="B56" s="46">
        <f>Con_BBB</f>
        <v>7.1027915530882099E-2</v>
      </c>
      <c r="C56" s="10" t="s">
        <v>98</v>
      </c>
      <c r="D56" s="69"/>
      <c r="E56" s="69"/>
      <c r="F56" s="69"/>
      <c r="G56" s="69"/>
      <c r="H56" s="69"/>
      <c r="I56" s="69"/>
      <c r="J56" s="69"/>
      <c r="K56" s="69"/>
    </row>
    <row r="57" spans="1:11" x14ac:dyDescent="0.35">
      <c r="A57" s="63" t="s">
        <v>99</v>
      </c>
      <c r="B57" s="55">
        <f>SUM(J16:J35)</f>
        <v>119999.9991927408</v>
      </c>
      <c r="C57" s="13" t="s">
        <v>100</v>
      </c>
      <c r="D57" s="69"/>
      <c r="E57" s="69"/>
      <c r="F57" s="69"/>
      <c r="G57" s="69"/>
      <c r="H57" s="69"/>
      <c r="I57" s="69"/>
      <c r="J57" s="69"/>
      <c r="K57" s="69"/>
    </row>
    <row r="58" spans="1:11" x14ac:dyDescent="0.35">
      <c r="A58" s="1" t="s">
        <v>101</v>
      </c>
      <c r="B58" s="5">
        <f>SUM(C16:C35)</f>
        <v>120000</v>
      </c>
      <c r="C58" s="10" t="s">
        <v>102</v>
      </c>
      <c r="D58" s="69"/>
      <c r="E58" s="69"/>
      <c r="F58" s="69"/>
      <c r="G58" s="69"/>
      <c r="H58" s="69"/>
      <c r="I58" s="69"/>
      <c r="J58" s="69"/>
      <c r="K58" s="69"/>
    </row>
    <row r="59" spans="1:11" x14ac:dyDescent="0.35">
      <c r="A59" s="64" t="s">
        <v>103</v>
      </c>
      <c r="B59" s="65">
        <f>SUM(K16:K35)</f>
        <v>-8.0725920270197093E-4</v>
      </c>
      <c r="C59" s="66" t="s">
        <v>104</v>
      </c>
      <c r="D59" s="69"/>
      <c r="E59" s="69"/>
      <c r="F59" s="69"/>
      <c r="G59" s="69"/>
      <c r="H59" s="69"/>
      <c r="I59" s="69"/>
      <c r="J59" s="69"/>
      <c r="K59" s="69"/>
    </row>
    <row r="60" spans="1:11" x14ac:dyDescent="0.35">
      <c r="D60" s="69"/>
      <c r="E60" s="69"/>
      <c r="F60" s="69"/>
      <c r="G60" s="69"/>
      <c r="H60" s="69"/>
      <c r="I60" s="69"/>
      <c r="J60" s="69"/>
      <c r="K60" s="69"/>
    </row>
  </sheetData>
  <mergeCells count="1">
    <mergeCell ref="A1:M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Instructions</vt:lpstr>
      <vt:lpstr>Parameters</vt:lpstr>
      <vt:lpstr>FABN_Liabilities</vt:lpstr>
      <vt:lpstr>Bond_Cashflows</vt:lpstr>
      <vt:lpstr>Optimizer</vt:lpstr>
      <vt:lpstr>B_RBC</vt:lpstr>
      <vt:lpstr>Beta</vt:lpstr>
      <vt:lpstr>CF_Surplus</vt:lpstr>
      <vt:lpstr>Con_BBB</vt:lpstr>
      <vt:lpstr>Con_Budget</vt:lpstr>
      <vt:lpstr>Con_C1</vt:lpstr>
      <vt:lpstr>Con_CF_Tot</vt:lpstr>
      <vt:lpstr>Con_DurHi</vt:lpstr>
      <vt:lpstr>Con_DurLo</vt:lpstr>
      <vt:lpstr>D_L</vt:lpstr>
      <vt:lpstr>Epsilon</vt:lpstr>
      <vt:lpstr>Gamma</vt:lpstr>
      <vt:lpstr>NOTIONAL_NR</vt:lpstr>
      <vt:lpstr>Objective</vt:lpstr>
      <vt:lpstr>q_BBB</vt:lpstr>
      <vt:lpstr>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Eduardo Tovilla Rivera</dc:creator>
  <cp:lastModifiedBy>José Eduardo Tovilla Rivera</cp:lastModifiedBy>
  <dcterms:created xsi:type="dcterms:W3CDTF">2026-04-20T17:54:41Z</dcterms:created>
  <dcterms:modified xsi:type="dcterms:W3CDTF">2026-04-21T18:37:51Z</dcterms:modified>
</cp:coreProperties>
</file>